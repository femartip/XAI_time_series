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<sst xmlns="http://schemas.openxmlformats.org/spreadsheetml/2006/main" count="1095" uniqueCount="133">
  <si>
    <t>DS1-A,D</t>
  </si>
  <si>
    <t>Chinatown</t>
  </si>
  <si>
    <t>L72</t>
  </si>
  <si>
    <t>L92</t>
  </si>
  <si>
    <t>L100</t>
  </si>
  <si>
    <t>No Simp</t>
  </si>
  <si>
    <t>Instance</t>
  </si>
  <si>
    <t>Answers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</si>
  <si>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</si>
  <si>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</si>
  <si>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</si>
  <si>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</si>
  <si>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</si>
  <si>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</si>
  <si>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</si>
  <si>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</si>
  <si>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</si>
  <si>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</si>
  <si>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</si>
  <si>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</si>
  <si>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</si>
  <si>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</si>
  <si>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</si>
  <si>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</si>
  <si>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</si>
  <si>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</si>
  <si>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</si>
  <si>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</si>
  <si>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</si>
  <si>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</si>
  <si>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</si>
  <si>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</si>
  <si>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b</t>
  </si>
  <si>
    <t>r</t>
  </si>
  <si>
    <t>DS2-E, H</t>
  </si>
  <si>
    <t>ECG200</t>
  </si>
  <si>
    <t>L82</t>
  </si>
  <si>
    <t>L97</t>
  </si>
  <si>
    <t>E1</t>
  </si>
  <si>
    <t>E2</t>
  </si>
  <si>
    <t>E3</t>
  </si>
  <si>
    <t>E4</t>
  </si>
  <si>
    <t>E5</t>
  </si>
  <si>
    <t>E6</t>
  </si>
  <si>
    <t>F1</t>
  </si>
  <si>
    <t>F2</t>
  </si>
  <si>
    <t>F3</t>
  </si>
  <si>
    <t>F4</t>
  </si>
  <si>
    <t>F5</t>
  </si>
  <si>
    <t>F6</t>
  </si>
  <si>
    <t>G1</t>
  </si>
  <si>
    <t>G2</t>
  </si>
  <si>
    <t>G3</t>
  </si>
  <si>
    <t>G4</t>
  </si>
  <si>
    <t>G5</t>
  </si>
  <si>
    <t>G6</t>
  </si>
  <si>
    <t>H1</t>
  </si>
  <si>
    <t>H2</t>
  </si>
  <si>
    <t>H3</t>
  </si>
  <si>
    <t>H4</t>
  </si>
  <si>
    <t>H5</t>
  </si>
  <si>
    <t>H6</t>
  </si>
  <si>
    <t>DS3-I,L</t>
  </si>
  <si>
    <t>SonyAIBORobotSurface1</t>
  </si>
  <si>
    <t>L90</t>
  </si>
  <si>
    <t>L96</t>
  </si>
  <si>
    <t>I1</t>
  </si>
  <si>
    <t>I2</t>
  </si>
  <si>
    <t>I3</t>
  </si>
  <si>
    <t>I4</t>
  </si>
  <si>
    <t>I5</t>
  </si>
  <si>
    <t>I6</t>
  </si>
  <si>
    <t>J1</t>
  </si>
  <si>
    <t>J2</t>
  </si>
  <si>
    <t>J3</t>
  </si>
  <si>
    <t>J4</t>
  </si>
  <si>
    <t>J5</t>
  </si>
  <si>
    <t>J6</t>
  </si>
  <si>
    <t>K1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</si>
  <si>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</si>
  <si>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</si>
  <si>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</si>
  <si>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</si>
  <si>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</si>
  <si>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</si>
  <si>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</si>
  <si>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</si>
  <si>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</si>
  <si>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L5</t>
  </si>
  <si>
    <t>L6</t>
  </si>
  <si>
    <t>DS4-M,P</t>
  </si>
  <si>
    <t>UMD</t>
  </si>
  <si>
    <t>L95</t>
  </si>
  <si>
    <t>L99</t>
  </si>
  <si>
    <t>M1</t>
  </si>
  <si>
    <t>M2</t>
  </si>
  <si>
    <t>M3</t>
  </si>
  <si>
    <t>M4</t>
  </si>
  <si>
    <t>M5</t>
  </si>
  <si>
    <t>M6</t>
  </si>
  <si>
    <t>N1</t>
  </si>
  <si>
    <t>N2</t>
  </si>
  <si>
    <t>N3</t>
  </si>
  <si>
    <t>N4</t>
  </si>
  <si>
    <t>N5</t>
  </si>
  <si>
    <t>N6</t>
  </si>
  <si>
    <t>O1</t>
  </si>
  <si>
    <t>O2</t>
  </si>
  <si>
    <t>O3</t>
  </si>
  <si>
    <t>O4</t>
  </si>
  <si>
    <t>O5</t>
  </si>
  <si>
    <t>O6</t>
  </si>
  <si>
    <t>P1</t>
  </si>
  <si>
    <t>P2</t>
  </si>
  <si>
    <t>P3</t>
  </si>
  <si>
    <t>P4</t>
  </si>
  <si>
    <t>P5</t>
  </si>
  <si>
    <t>P6</t>
  </si>
  <si>
    <t>g</t>
  </si>
  <si>
    <t>Acc</t>
  </si>
  <si>
    <t>Acc per Simp Level</t>
  </si>
  <si>
    <t>Simpl Simulatability</t>
  </si>
  <si>
    <t>Knee Low</t>
  </si>
  <si>
    <t>Knee High</t>
  </si>
  <si>
    <t>Full</t>
  </si>
  <si>
    <t>Loyalty</t>
  </si>
  <si>
    <t xml:space="preserve">Knee Low </t>
  </si>
  <si>
    <t>Dataset 1</t>
  </si>
  <si>
    <t xml:space="preserve">Dataset 1 </t>
  </si>
  <si>
    <t>Dataset 2</t>
  </si>
  <si>
    <t>Dataset 3</t>
  </si>
  <si>
    <t>Dataset 4</t>
  </si>
  <si>
    <t>Model Simulatability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</si>
</sst>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C27BA0"/>
        <bgColor rgb="FFC27BA0"/>
      </patternFill>
    </fill>
    <fill>
      <patternFill patternType="solid">
        <fgColor rgb="FFD9D2E9"/>
        <bgColor rgb="FFD9D2E9"/>
      </patternFill>
    </fill>
    <fill>
      <patternFill patternType="solid">
        <fgColor rgb="FF3D85C6"/>
        <bgColor rgb="FF3D85C6"/>
      </patternFill>
    </fill>
    <fill>
      <patternFill patternType="solid">
        <fgColor rgb="FFFFE599"/>
        <bgColor rgb="FFFFE599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horizontal="left"/>
    </xf>
    <xf borderId="1" fillId="3" fontId="1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left" readingOrder="0"/>
    </xf>
    <xf borderId="1" fillId="4" fontId="1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left"/>
    </xf>
    <xf borderId="0" fillId="5" fontId="1" numFmtId="0" xfId="0" applyAlignment="1" applyFill="1" applyFont="1">
      <alignment horizontal="left" readingOrder="0"/>
    </xf>
    <xf borderId="1" fillId="6" fontId="1" numFmtId="0" xfId="0" applyAlignment="1" applyBorder="1" applyFill="1" applyFont="1">
      <alignment horizontal="center" readingOrder="0"/>
    </xf>
    <xf borderId="0" fillId="3" fontId="1" numFmtId="0" xfId="0" applyAlignment="1" applyFont="1">
      <alignment horizontal="left"/>
    </xf>
    <xf borderId="0" fillId="2" fontId="1" numFmtId="0" xfId="0" applyAlignment="1" applyFont="1">
      <alignment horizontal="center" readingOrder="0"/>
    </xf>
    <xf borderId="0" fillId="2" fontId="2" numFmtId="0" xfId="0" applyAlignment="1" applyFont="1">
      <alignment horizontal="left"/>
    </xf>
    <xf borderId="1" fillId="7" fontId="1" numFmtId="0" xfId="0" applyAlignment="1" applyBorder="1" applyFill="1" applyFont="1">
      <alignment horizontal="center" readingOrder="0"/>
    </xf>
    <xf borderId="0" fillId="3" fontId="1" numFmtId="0" xfId="0" applyAlignment="1" applyFont="1">
      <alignment horizontal="left"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8" fontId="1" numFmtId="0" xfId="0" applyFill="1" applyFont="1"/>
    <xf borderId="0" fillId="8" fontId="1" numFmtId="0" xfId="0" applyAlignment="1" applyFont="1">
      <alignment readingOrder="0"/>
    </xf>
    <xf borderId="1" fillId="0" fontId="1" numFmtId="0" xfId="0" applyAlignment="1" applyBorder="1" applyFont="1">
      <alignment horizontal="left"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26" width="7.0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1" t="s">
        <v>3</v>
      </c>
      <c r="J1" s="2"/>
      <c r="K1" s="2"/>
      <c r="L1" s="2"/>
      <c r="M1" s="2"/>
      <c r="N1" s="2"/>
      <c r="O1" s="1" t="s">
        <v>4</v>
      </c>
      <c r="P1" s="2"/>
      <c r="Q1" s="2"/>
      <c r="R1" s="2"/>
      <c r="S1" s="2"/>
      <c r="T1" s="2"/>
      <c r="U1" s="1" t="s">
        <v>5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>
      <c r="A2" s="3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4" t="s">
        <v>17</v>
      </c>
      <c r="M2" s="4" t="s">
        <v>18</v>
      </c>
      <c r="N2" s="4" t="s">
        <v>19</v>
      </c>
      <c r="O2" s="4" t="s">
        <v>20</v>
      </c>
      <c r="P2" s="4" t="s">
        <v>21</v>
      </c>
      <c r="Q2" s="4" t="s">
        <v>22</v>
      </c>
      <c r="R2" s="4" t="s">
        <v>23</v>
      </c>
      <c r="S2" s="4" t="s">
        <v>24</v>
      </c>
      <c r="T2" s="4" t="s">
        <v>25</v>
      </c>
      <c r="U2" s="4" t="s">
        <v>26</v>
      </c>
      <c r="V2" s="4" t="s">
        <v>27</v>
      </c>
      <c r="W2" s="4" t="s">
        <v>28</v>
      </c>
      <c r="X2" s="4" t="s">
        <v>29</v>
      </c>
      <c r="Y2" s="4" t="s">
        <v>30</v>
      </c>
      <c r="Z2" s="4" t="s">
        <v>31</v>
      </c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</row>
    <row r="3">
      <c r="A3" s="3">
        <v>1.0</v>
      </c>
      <c r="B3" s="5" t="s">
        <v>32</v>
      </c>
      <c r="C3" s="4" t="s">
        <v>32</v>
      </c>
      <c r="D3" s="4" t="s">
        <v>32</v>
      </c>
      <c r="E3" s="4" t="s">
        <v>32</v>
      </c>
      <c r="F3" s="4" t="s">
        <v>32</v>
      </c>
      <c r="G3" s="4" t="s">
        <v>32</v>
      </c>
      <c r="H3" s="6"/>
      <c r="I3" s="4" t="s">
        <v>32</v>
      </c>
      <c r="J3" s="4" t="s">
        <v>32</v>
      </c>
      <c r="K3" s="4" t="s">
        <v>32</v>
      </c>
      <c r="L3" s="4" t="s">
        <v>32</v>
      </c>
      <c r="M3" s="6"/>
      <c r="N3" s="6"/>
      <c r="O3" s="4" t="s">
        <v>33</v>
      </c>
      <c r="P3" s="4" t="s">
        <v>33</v>
      </c>
      <c r="Q3" s="4" t="s">
        <v>32</v>
      </c>
      <c r="R3" s="4" t="s">
        <v>32</v>
      </c>
      <c r="S3" s="6"/>
      <c r="T3" s="4" t="s">
        <v>32</v>
      </c>
      <c r="U3" s="4" t="s">
        <v>33</v>
      </c>
      <c r="V3" s="4" t="s">
        <v>32</v>
      </c>
      <c r="W3" s="7" t="s">
        <v>32</v>
      </c>
      <c r="X3" s="4" t="s">
        <v>32</v>
      </c>
      <c r="Y3" s="4" t="s">
        <v>32</v>
      </c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</row>
    <row r="4">
      <c r="A4" s="3">
        <v>2.0</v>
      </c>
      <c r="B4" s="8" t="s">
        <v>33</v>
      </c>
      <c r="C4" s="4" t="s">
        <v>32</v>
      </c>
      <c r="D4" s="4" t="s">
        <v>33</v>
      </c>
      <c r="E4" s="4" t="s">
        <v>32</v>
      </c>
      <c r="F4" s="4" t="s">
        <v>32</v>
      </c>
      <c r="G4" s="4" t="s">
        <v>32</v>
      </c>
      <c r="H4" s="6"/>
      <c r="I4" s="4" t="s">
        <v>33</v>
      </c>
      <c r="J4" s="4" t="s">
        <v>32</v>
      </c>
      <c r="K4" s="4" t="s">
        <v>32</v>
      </c>
      <c r="L4" s="4" t="s">
        <v>33</v>
      </c>
      <c r="M4" s="6"/>
      <c r="N4" s="6"/>
      <c r="O4" s="4" t="s">
        <v>33</v>
      </c>
      <c r="P4" s="4" t="s">
        <v>32</v>
      </c>
      <c r="Q4" s="4" t="s">
        <v>33</v>
      </c>
      <c r="R4" s="4" t="s">
        <v>33</v>
      </c>
      <c r="S4" s="6"/>
      <c r="T4" s="4" t="s">
        <v>33</v>
      </c>
      <c r="U4" s="4" t="s">
        <v>32</v>
      </c>
      <c r="V4" s="4" t="s">
        <v>33</v>
      </c>
      <c r="W4" s="7" t="s">
        <v>32</v>
      </c>
      <c r="X4" s="4" t="s">
        <v>33</v>
      </c>
      <c r="Y4" s="4" t="s">
        <v>33</v>
      </c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</row>
    <row r="5">
      <c r="A5" s="3">
        <v>3.0</v>
      </c>
      <c r="B5" s="8" t="s">
        <v>33</v>
      </c>
      <c r="C5" s="4" t="s">
        <v>33</v>
      </c>
      <c r="D5" s="4" t="s">
        <v>33</v>
      </c>
      <c r="E5" s="4" t="s">
        <v>33</v>
      </c>
      <c r="F5" s="4" t="s">
        <v>33</v>
      </c>
      <c r="G5" s="4" t="s">
        <v>33</v>
      </c>
      <c r="H5" s="6"/>
      <c r="I5" s="4" t="s">
        <v>33</v>
      </c>
      <c r="J5" s="4" t="s">
        <v>33</v>
      </c>
      <c r="K5" s="4" t="s">
        <v>33</v>
      </c>
      <c r="L5" s="4" t="s">
        <v>33</v>
      </c>
      <c r="M5" s="6"/>
      <c r="N5" s="6"/>
      <c r="O5" s="4" t="s">
        <v>33</v>
      </c>
      <c r="P5" s="4" t="s">
        <v>32</v>
      </c>
      <c r="Q5" s="4" t="s">
        <v>33</v>
      </c>
      <c r="R5" s="4" t="s">
        <v>33</v>
      </c>
      <c r="S5" s="6"/>
      <c r="T5" s="4" t="s">
        <v>33</v>
      </c>
      <c r="U5" s="4" t="s">
        <v>33</v>
      </c>
      <c r="V5" s="4" t="s">
        <v>32</v>
      </c>
      <c r="W5" s="7" t="s">
        <v>32</v>
      </c>
      <c r="X5" s="4" t="s">
        <v>32</v>
      </c>
      <c r="Y5" s="4" t="s">
        <v>33</v>
      </c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</row>
    <row r="6">
      <c r="A6" s="3">
        <v>4.0</v>
      </c>
      <c r="B6" s="5" t="s">
        <v>32</v>
      </c>
      <c r="C6" s="4" t="s">
        <v>32</v>
      </c>
      <c r="D6" s="4" t="s">
        <v>32</v>
      </c>
      <c r="E6" s="4" t="s">
        <v>32</v>
      </c>
      <c r="F6" s="4" t="s">
        <v>32</v>
      </c>
      <c r="G6" s="4" t="s">
        <v>32</v>
      </c>
      <c r="H6" s="6"/>
      <c r="I6" s="4" t="s">
        <v>32</v>
      </c>
      <c r="J6" s="4" t="s">
        <v>32</v>
      </c>
      <c r="K6" s="4" t="s">
        <v>32</v>
      </c>
      <c r="L6" s="4" t="s">
        <v>33</v>
      </c>
      <c r="M6" s="6"/>
      <c r="N6" s="6"/>
      <c r="O6" s="4" t="s">
        <v>32</v>
      </c>
      <c r="P6" s="4" t="s">
        <v>32</v>
      </c>
      <c r="Q6" s="4" t="s">
        <v>32</v>
      </c>
      <c r="R6" s="4" t="s">
        <v>32</v>
      </c>
      <c r="S6" s="6"/>
      <c r="T6" s="4" t="s">
        <v>32</v>
      </c>
      <c r="U6" s="4" t="s">
        <v>32</v>
      </c>
      <c r="V6" s="4" t="s">
        <v>32</v>
      </c>
      <c r="W6" s="7" t="s">
        <v>32</v>
      </c>
      <c r="X6" s="4" t="s">
        <v>32</v>
      </c>
      <c r="Y6" s="4" t="s">
        <v>32</v>
      </c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</row>
    <row r="7">
      <c r="A7" s="3">
        <v>5.0</v>
      </c>
      <c r="B7" s="5" t="s">
        <v>32</v>
      </c>
      <c r="C7" s="4" t="s">
        <v>32</v>
      </c>
      <c r="D7" s="6"/>
      <c r="E7" s="4" t="s">
        <v>33</v>
      </c>
      <c r="F7" s="4" t="s">
        <v>33</v>
      </c>
      <c r="G7" s="4" t="s">
        <v>32</v>
      </c>
      <c r="H7" s="6"/>
      <c r="I7" s="4" t="s">
        <v>32</v>
      </c>
      <c r="J7" s="4" t="s">
        <v>32</v>
      </c>
      <c r="K7" s="4" t="s">
        <v>32</v>
      </c>
      <c r="L7" s="4" t="s">
        <v>32</v>
      </c>
      <c r="M7" s="6"/>
      <c r="N7" s="6"/>
      <c r="O7" s="4" t="s">
        <v>33</v>
      </c>
      <c r="P7" s="4" t="s">
        <v>33</v>
      </c>
      <c r="Q7" s="4" t="s">
        <v>32</v>
      </c>
      <c r="R7" s="4" t="s">
        <v>32</v>
      </c>
      <c r="S7" s="6"/>
      <c r="T7" s="4" t="s">
        <v>33</v>
      </c>
      <c r="U7" s="4" t="s">
        <v>32</v>
      </c>
      <c r="V7" s="4" t="s">
        <v>32</v>
      </c>
      <c r="W7" s="7" t="s">
        <v>32</v>
      </c>
      <c r="X7" s="4" t="s">
        <v>33</v>
      </c>
      <c r="Y7" s="4" t="s">
        <v>33</v>
      </c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</row>
    <row r="8">
      <c r="A8" s="3">
        <v>6.0</v>
      </c>
      <c r="B8" s="5" t="s">
        <v>32</v>
      </c>
      <c r="C8" s="4" t="s">
        <v>32</v>
      </c>
      <c r="D8" s="4" t="s">
        <v>32</v>
      </c>
      <c r="E8" s="4" t="s">
        <v>33</v>
      </c>
      <c r="F8" s="4" t="s">
        <v>32</v>
      </c>
      <c r="G8" s="4" t="s">
        <v>32</v>
      </c>
      <c r="H8" s="6"/>
      <c r="I8" s="4" t="s">
        <v>32</v>
      </c>
      <c r="J8" s="4" t="s">
        <v>32</v>
      </c>
      <c r="K8" s="4" t="s">
        <v>32</v>
      </c>
      <c r="L8" s="4" t="s">
        <v>32</v>
      </c>
      <c r="M8" s="6"/>
      <c r="N8" s="6"/>
      <c r="O8" s="4" t="s">
        <v>32</v>
      </c>
      <c r="P8" s="4" t="s">
        <v>32</v>
      </c>
      <c r="Q8" s="4" t="s">
        <v>32</v>
      </c>
      <c r="R8" s="4" t="s">
        <v>32</v>
      </c>
      <c r="S8" s="6"/>
      <c r="T8" s="4" t="s">
        <v>32</v>
      </c>
      <c r="U8" s="4" t="s">
        <v>32</v>
      </c>
      <c r="V8" s="4" t="s">
        <v>32</v>
      </c>
      <c r="W8" s="7" t="s">
        <v>32</v>
      </c>
      <c r="X8" s="4" t="s">
        <v>32</v>
      </c>
      <c r="Y8" s="4" t="s">
        <v>32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>
      <c r="A9" s="3">
        <v>7.0</v>
      </c>
      <c r="B9" s="5" t="s">
        <v>32</v>
      </c>
      <c r="C9" s="4" t="s">
        <v>32</v>
      </c>
      <c r="D9" s="4" t="s">
        <v>32</v>
      </c>
      <c r="E9" s="4" t="s">
        <v>32</v>
      </c>
      <c r="F9" s="4" t="s">
        <v>32</v>
      </c>
      <c r="G9" s="4" t="s">
        <v>32</v>
      </c>
      <c r="H9" s="6"/>
      <c r="I9" s="4" t="s">
        <v>32</v>
      </c>
      <c r="J9" s="4" t="s">
        <v>32</v>
      </c>
      <c r="K9" s="4" t="s">
        <v>32</v>
      </c>
      <c r="L9" s="4" t="s">
        <v>32</v>
      </c>
      <c r="M9" s="6"/>
      <c r="N9" s="6"/>
      <c r="O9" s="4" t="s">
        <v>32</v>
      </c>
      <c r="P9" s="4" t="s">
        <v>32</v>
      </c>
      <c r="Q9" s="4" t="s">
        <v>32</v>
      </c>
      <c r="R9" s="4" t="s">
        <v>32</v>
      </c>
      <c r="S9" s="6"/>
      <c r="T9" s="4" t="s">
        <v>33</v>
      </c>
      <c r="U9" s="4" t="s">
        <v>33</v>
      </c>
      <c r="V9" s="4" t="s">
        <v>32</v>
      </c>
      <c r="W9" s="7" t="s">
        <v>32</v>
      </c>
      <c r="X9" s="4" t="s">
        <v>33</v>
      </c>
      <c r="Y9" s="4" t="s">
        <v>32</v>
      </c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</row>
    <row r="10">
      <c r="A10" s="3">
        <v>8.0</v>
      </c>
      <c r="B10" s="8" t="s">
        <v>33</v>
      </c>
      <c r="C10" s="4" t="s">
        <v>33</v>
      </c>
      <c r="D10" s="4" t="s">
        <v>33</v>
      </c>
      <c r="E10" s="4" t="s">
        <v>33</v>
      </c>
      <c r="F10" s="4" t="s">
        <v>33</v>
      </c>
      <c r="G10" s="4" t="s">
        <v>33</v>
      </c>
      <c r="H10" s="6"/>
      <c r="I10" s="4" t="s">
        <v>33</v>
      </c>
      <c r="J10" s="4" t="s">
        <v>33</v>
      </c>
      <c r="K10" s="4" t="s">
        <v>33</v>
      </c>
      <c r="L10" s="4" t="s">
        <v>32</v>
      </c>
      <c r="M10" s="6"/>
      <c r="N10" s="6"/>
      <c r="O10" s="4" t="s">
        <v>33</v>
      </c>
      <c r="P10" s="4" t="s">
        <v>33</v>
      </c>
      <c r="Q10" s="4" t="s">
        <v>33</v>
      </c>
      <c r="R10" s="4" t="s">
        <v>33</v>
      </c>
      <c r="S10" s="6"/>
      <c r="T10" s="4" t="s">
        <v>33</v>
      </c>
      <c r="U10" s="4" t="s">
        <v>32</v>
      </c>
      <c r="V10" s="4" t="s">
        <v>33</v>
      </c>
      <c r="W10" s="7" t="s">
        <v>32</v>
      </c>
      <c r="X10" s="4" t="s">
        <v>33</v>
      </c>
      <c r="Y10" s="4" t="s">
        <v>33</v>
      </c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</row>
    <row r="11">
      <c r="A11" s="3">
        <v>9.0</v>
      </c>
      <c r="B11" s="8" t="s">
        <v>33</v>
      </c>
      <c r="C11" s="4" t="s">
        <v>33</v>
      </c>
      <c r="D11" s="4" t="s">
        <v>33</v>
      </c>
      <c r="E11" s="4" t="s">
        <v>33</v>
      </c>
      <c r="F11" s="4" t="s">
        <v>33</v>
      </c>
      <c r="G11" s="4" t="s">
        <v>33</v>
      </c>
      <c r="H11" s="6"/>
      <c r="I11" s="4" t="s">
        <v>33</v>
      </c>
      <c r="J11" s="4" t="s">
        <v>33</v>
      </c>
      <c r="K11" s="4" t="s">
        <v>33</v>
      </c>
      <c r="L11" s="4" t="s">
        <v>33</v>
      </c>
      <c r="M11" s="6"/>
      <c r="N11" s="6"/>
      <c r="O11" s="4" t="s">
        <v>33</v>
      </c>
      <c r="P11" s="4" t="s">
        <v>33</v>
      </c>
      <c r="Q11" s="4" t="s">
        <v>33</v>
      </c>
      <c r="R11" s="4" t="s">
        <v>33</v>
      </c>
      <c r="S11" s="6"/>
      <c r="T11" s="4" t="s">
        <v>33</v>
      </c>
      <c r="U11" s="4" t="s">
        <v>33</v>
      </c>
      <c r="V11" s="4" t="s">
        <v>33</v>
      </c>
      <c r="W11" s="7" t="s">
        <v>32</v>
      </c>
      <c r="X11" s="4" t="s">
        <v>32</v>
      </c>
      <c r="Y11" s="4" t="s">
        <v>33</v>
      </c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</row>
    <row r="12">
      <c r="A12" s="3">
        <v>10.0</v>
      </c>
      <c r="B12" s="8" t="s">
        <v>33</v>
      </c>
      <c r="C12" s="4" t="s">
        <v>32</v>
      </c>
      <c r="D12" s="4" t="s">
        <v>32</v>
      </c>
      <c r="E12" s="4" t="s">
        <v>33</v>
      </c>
      <c r="F12" s="4" t="s">
        <v>32</v>
      </c>
      <c r="G12" s="4" t="s">
        <v>33</v>
      </c>
      <c r="H12" s="6"/>
      <c r="I12" s="4" t="s">
        <v>32</v>
      </c>
      <c r="J12" s="4" t="s">
        <v>32</v>
      </c>
      <c r="K12" s="4" t="s">
        <v>32</v>
      </c>
      <c r="L12" s="4" t="s">
        <v>33</v>
      </c>
      <c r="M12" s="6"/>
      <c r="N12" s="6"/>
      <c r="O12" s="4" t="s">
        <v>32</v>
      </c>
      <c r="P12" s="4" t="s">
        <v>32</v>
      </c>
      <c r="Q12" s="4" t="s">
        <v>33</v>
      </c>
      <c r="R12" s="4" t="s">
        <v>32</v>
      </c>
      <c r="S12" s="6"/>
      <c r="T12" s="4" t="s">
        <v>32</v>
      </c>
      <c r="U12" s="4" t="s">
        <v>33</v>
      </c>
      <c r="V12" s="4" t="s">
        <v>33</v>
      </c>
      <c r="W12" s="7" t="s">
        <v>32</v>
      </c>
      <c r="X12" s="4" t="s">
        <v>32</v>
      </c>
      <c r="Y12" s="4" t="s">
        <v>32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</row>
    <row r="13">
      <c r="A13" s="9"/>
      <c r="B13" s="9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</row>
    <row r="14">
      <c r="A14" s="9"/>
      <c r="B14" s="9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</row>
    <row r="15">
      <c r="A15" s="9"/>
      <c r="B15" s="9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</row>
    <row r="16">
      <c r="A16" s="9"/>
      <c r="B16" s="9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</row>
    <row r="17">
      <c r="A17" s="10" t="s">
        <v>34</v>
      </c>
      <c r="B17" s="10" t="s">
        <v>35</v>
      </c>
      <c r="C17" s="1" t="s">
        <v>36</v>
      </c>
      <c r="D17" s="2"/>
      <c r="E17" s="2"/>
      <c r="F17" s="2"/>
      <c r="G17" s="2"/>
      <c r="H17" s="2"/>
      <c r="I17" s="1" t="s">
        <v>37</v>
      </c>
      <c r="J17" s="2"/>
      <c r="K17" s="2"/>
      <c r="L17" s="11"/>
      <c r="M17" s="2"/>
      <c r="N17" s="2"/>
      <c r="O17" s="1" t="s">
        <v>4</v>
      </c>
      <c r="P17" s="2"/>
      <c r="Q17" s="2"/>
      <c r="R17" s="2"/>
      <c r="S17" s="2"/>
      <c r="T17" s="2"/>
      <c r="U17" s="1" t="s">
        <v>5</v>
      </c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>
      <c r="A18" s="3" t="s">
        <v>6</v>
      </c>
      <c r="B18" s="3" t="s">
        <v>7</v>
      </c>
      <c r="C18" s="4" t="s">
        <v>38</v>
      </c>
      <c r="D18" s="4" t="s">
        <v>39</v>
      </c>
      <c r="E18" s="4" t="s">
        <v>40</v>
      </c>
      <c r="F18" s="4" t="s">
        <v>41</v>
      </c>
      <c r="G18" s="4" t="s">
        <v>42</v>
      </c>
      <c r="H18" s="4" t="s">
        <v>43</v>
      </c>
      <c r="I18" s="4" t="s">
        <v>44</v>
      </c>
      <c r="J18" s="4" t="s">
        <v>45</v>
      </c>
      <c r="K18" s="4" t="s">
        <v>46</v>
      </c>
      <c r="L18" s="4" t="s">
        <v>47</v>
      </c>
      <c r="M18" s="4" t="s">
        <v>48</v>
      </c>
      <c r="N18" s="4" t="s">
        <v>49</v>
      </c>
      <c r="O18" s="4" t="s">
        <v>50</v>
      </c>
      <c r="P18" s="4" t="s">
        <v>51</v>
      </c>
      <c r="Q18" s="4" t="s">
        <v>52</v>
      </c>
      <c r="R18" s="4" t="s">
        <v>53</v>
      </c>
      <c r="S18" s="4" t="s">
        <v>54</v>
      </c>
      <c r="T18" s="4" t="s">
        <v>55</v>
      </c>
      <c r="U18" s="4" t="s">
        <v>56</v>
      </c>
      <c r="V18" s="4" t="s">
        <v>57</v>
      </c>
      <c r="W18" s="4" t="s">
        <v>58</v>
      </c>
      <c r="X18" s="4" t="s">
        <v>59</v>
      </c>
      <c r="Y18" s="4" t="s">
        <v>60</v>
      </c>
      <c r="Z18" s="4" t="s">
        <v>61</v>
      </c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>
      <c r="A19" s="3">
        <v>1.0</v>
      </c>
      <c r="B19" s="5" t="s">
        <v>32</v>
      </c>
      <c r="C19" s="4" t="s">
        <v>32</v>
      </c>
      <c r="D19" s="4" t="s">
        <v>32</v>
      </c>
      <c r="E19" s="4" t="s">
        <v>32</v>
      </c>
      <c r="F19" s="4" t="s">
        <v>33</v>
      </c>
      <c r="G19" s="6"/>
      <c r="H19" s="4" t="s">
        <v>32</v>
      </c>
      <c r="I19" s="4" t="s">
        <v>32</v>
      </c>
      <c r="J19" s="4" t="s">
        <v>32</v>
      </c>
      <c r="K19" s="4" t="s">
        <v>32</v>
      </c>
      <c r="L19" s="4" t="s">
        <v>32</v>
      </c>
      <c r="M19" s="4" t="s">
        <v>32</v>
      </c>
      <c r="N19" s="6"/>
      <c r="O19" s="4" t="s">
        <v>32</v>
      </c>
      <c r="P19" s="4" t="s">
        <v>32</v>
      </c>
      <c r="Q19" s="4" t="s">
        <v>32</v>
      </c>
      <c r="R19" s="4" t="s">
        <v>33</v>
      </c>
      <c r="S19" s="4" t="s">
        <v>32</v>
      </c>
      <c r="T19" s="6"/>
      <c r="U19" s="4" t="s">
        <v>32</v>
      </c>
      <c r="V19" s="4" t="s">
        <v>32</v>
      </c>
      <c r="W19" s="4" t="s">
        <v>32</v>
      </c>
      <c r="X19" s="4" t="s">
        <v>32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</row>
    <row r="20">
      <c r="A20" s="3">
        <v>2.0</v>
      </c>
      <c r="B20" s="8" t="s">
        <v>33</v>
      </c>
      <c r="C20" s="4" t="s">
        <v>33</v>
      </c>
      <c r="D20" s="4" t="s">
        <v>33</v>
      </c>
      <c r="E20" s="4" t="s">
        <v>33</v>
      </c>
      <c r="F20" s="4" t="s">
        <v>32</v>
      </c>
      <c r="G20" s="6"/>
      <c r="H20" s="4" t="s">
        <v>33</v>
      </c>
      <c r="I20" s="4" t="s">
        <v>33</v>
      </c>
      <c r="J20" s="4" t="s">
        <v>33</v>
      </c>
      <c r="K20" s="4" t="s">
        <v>33</v>
      </c>
      <c r="L20" s="4" t="s">
        <v>33</v>
      </c>
      <c r="M20" s="4" t="s">
        <v>33</v>
      </c>
      <c r="N20" s="6"/>
      <c r="O20" s="4" t="s">
        <v>32</v>
      </c>
      <c r="P20" s="4" t="s">
        <v>33</v>
      </c>
      <c r="Q20" s="4" t="s">
        <v>33</v>
      </c>
      <c r="R20" s="4" t="s">
        <v>32</v>
      </c>
      <c r="S20" s="4" t="s">
        <v>33</v>
      </c>
      <c r="T20" s="6"/>
      <c r="U20" s="4" t="s">
        <v>33</v>
      </c>
      <c r="V20" s="4" t="s">
        <v>33</v>
      </c>
      <c r="W20" s="4" t="s">
        <v>33</v>
      </c>
      <c r="X20" s="4" t="s">
        <v>33</v>
      </c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</row>
    <row r="21">
      <c r="A21" s="3">
        <v>3.0</v>
      </c>
      <c r="B21" s="8" t="s">
        <v>33</v>
      </c>
      <c r="C21" s="4" t="s">
        <v>33</v>
      </c>
      <c r="D21" s="4" t="s">
        <v>33</v>
      </c>
      <c r="E21" s="4" t="s">
        <v>33</v>
      </c>
      <c r="F21" s="4" t="s">
        <v>33</v>
      </c>
      <c r="G21" s="6"/>
      <c r="H21" s="4" t="s">
        <v>33</v>
      </c>
      <c r="I21" s="4" t="s">
        <v>33</v>
      </c>
      <c r="J21" s="4" t="s">
        <v>33</v>
      </c>
      <c r="K21" s="4" t="s">
        <v>33</v>
      </c>
      <c r="L21" s="4" t="s">
        <v>33</v>
      </c>
      <c r="M21" s="4" t="s">
        <v>33</v>
      </c>
      <c r="N21" s="6"/>
      <c r="O21" s="4" t="s">
        <v>32</v>
      </c>
      <c r="P21" s="4" t="s">
        <v>33</v>
      </c>
      <c r="Q21" s="4" t="s">
        <v>33</v>
      </c>
      <c r="R21" s="4" t="s">
        <v>33</v>
      </c>
      <c r="S21" s="4" t="s">
        <v>33</v>
      </c>
      <c r="T21" s="6"/>
      <c r="U21" s="4" t="s">
        <v>33</v>
      </c>
      <c r="V21" s="4" t="s">
        <v>33</v>
      </c>
      <c r="W21" s="4" t="s">
        <v>33</v>
      </c>
      <c r="X21" s="4" t="s">
        <v>33</v>
      </c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</row>
    <row r="22">
      <c r="A22" s="3">
        <v>4.0</v>
      </c>
      <c r="B22" s="5" t="s">
        <v>32</v>
      </c>
      <c r="C22" s="4" t="s">
        <v>33</v>
      </c>
      <c r="D22" s="4" t="s">
        <v>32</v>
      </c>
      <c r="E22" s="4" t="s">
        <v>33</v>
      </c>
      <c r="F22" s="4" t="s">
        <v>33</v>
      </c>
      <c r="G22" s="6"/>
      <c r="H22" s="4" t="s">
        <v>33</v>
      </c>
      <c r="I22" s="4" t="s">
        <v>33</v>
      </c>
      <c r="J22" s="4" t="s">
        <v>33</v>
      </c>
      <c r="K22" s="4" t="s">
        <v>33</v>
      </c>
      <c r="L22" s="4" t="s">
        <v>33</v>
      </c>
      <c r="M22" s="4" t="s">
        <v>32</v>
      </c>
      <c r="N22" s="6"/>
      <c r="O22" s="4" t="s">
        <v>32</v>
      </c>
      <c r="P22" s="4" t="s">
        <v>32</v>
      </c>
      <c r="Q22" s="4" t="s">
        <v>32</v>
      </c>
      <c r="R22" s="4" t="s">
        <v>32</v>
      </c>
      <c r="S22" s="4" t="s">
        <v>32</v>
      </c>
      <c r="T22" s="6"/>
      <c r="U22" s="4" t="s">
        <v>33</v>
      </c>
      <c r="V22" s="4" t="s">
        <v>32</v>
      </c>
      <c r="W22" s="4" t="s">
        <v>32</v>
      </c>
      <c r="X22" s="4" t="s">
        <v>33</v>
      </c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</row>
    <row r="23">
      <c r="A23" s="3">
        <v>5.0</v>
      </c>
      <c r="B23" s="5" t="s">
        <v>32</v>
      </c>
      <c r="C23" s="4" t="s">
        <v>32</v>
      </c>
      <c r="D23" s="4" t="s">
        <v>32</v>
      </c>
      <c r="E23" s="4" t="s">
        <v>33</v>
      </c>
      <c r="F23" s="4" t="s">
        <v>33</v>
      </c>
      <c r="G23" s="6"/>
      <c r="H23" s="4" t="s">
        <v>32</v>
      </c>
      <c r="I23" s="4" t="s">
        <v>32</v>
      </c>
      <c r="J23" s="4" t="s">
        <v>32</v>
      </c>
      <c r="K23" s="4" t="s">
        <v>32</v>
      </c>
      <c r="L23" s="4" t="s">
        <v>32</v>
      </c>
      <c r="M23" s="4" t="s">
        <v>32</v>
      </c>
      <c r="N23" s="6"/>
      <c r="O23" s="4" t="s">
        <v>33</v>
      </c>
      <c r="P23" s="4" t="s">
        <v>32</v>
      </c>
      <c r="Q23" s="4" t="s">
        <v>33</v>
      </c>
      <c r="R23" s="4" t="s">
        <v>32</v>
      </c>
      <c r="S23" s="4" t="s">
        <v>32</v>
      </c>
      <c r="T23" s="6"/>
      <c r="U23" s="4" t="s">
        <v>32</v>
      </c>
      <c r="V23" s="4" t="s">
        <v>32</v>
      </c>
      <c r="W23" s="4" t="s">
        <v>32</v>
      </c>
      <c r="X23" s="4" t="s">
        <v>32</v>
      </c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</row>
    <row r="24">
      <c r="A24" s="3">
        <v>6.0</v>
      </c>
      <c r="B24" s="5" t="s">
        <v>32</v>
      </c>
      <c r="C24" s="4" t="s">
        <v>32</v>
      </c>
      <c r="D24" s="4" t="s">
        <v>32</v>
      </c>
      <c r="E24" s="4" t="s">
        <v>32</v>
      </c>
      <c r="F24" s="4" t="s">
        <v>32</v>
      </c>
      <c r="G24" s="6"/>
      <c r="H24" s="4" t="s">
        <v>32</v>
      </c>
      <c r="I24" s="4" t="s">
        <v>33</v>
      </c>
      <c r="J24" s="4" t="s">
        <v>33</v>
      </c>
      <c r="K24" s="4" t="s">
        <v>33</v>
      </c>
      <c r="L24" s="4" t="s">
        <v>33</v>
      </c>
      <c r="M24" s="4" t="s">
        <v>32</v>
      </c>
      <c r="N24" s="6"/>
      <c r="O24" s="4" t="s">
        <v>33</v>
      </c>
      <c r="P24" s="4" t="s">
        <v>33</v>
      </c>
      <c r="Q24" s="4" t="s">
        <v>33</v>
      </c>
      <c r="R24" s="4" t="s">
        <v>32</v>
      </c>
      <c r="S24" s="4" t="s">
        <v>33</v>
      </c>
      <c r="T24" s="6"/>
      <c r="U24" s="4" t="s">
        <v>32</v>
      </c>
      <c r="V24" s="4" t="s">
        <v>33</v>
      </c>
      <c r="W24" s="4" t="s">
        <v>33</v>
      </c>
      <c r="X24" s="4" t="s">
        <v>33</v>
      </c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</row>
    <row r="25">
      <c r="A25" s="3">
        <v>7.0</v>
      </c>
      <c r="B25" s="5" t="s">
        <v>32</v>
      </c>
      <c r="C25" s="4" t="s">
        <v>33</v>
      </c>
      <c r="D25" s="4" t="s">
        <v>33</v>
      </c>
      <c r="E25" s="4" t="s">
        <v>33</v>
      </c>
      <c r="F25" s="4" t="s">
        <v>33</v>
      </c>
      <c r="G25" s="6"/>
      <c r="H25" s="4" t="s">
        <v>33</v>
      </c>
      <c r="I25" s="4" t="s">
        <v>32</v>
      </c>
      <c r="J25" s="4" t="s">
        <v>32</v>
      </c>
      <c r="K25" s="4" t="s">
        <v>32</v>
      </c>
      <c r="L25" s="4" t="s">
        <v>32</v>
      </c>
      <c r="M25" s="4" t="s">
        <v>32</v>
      </c>
      <c r="N25" s="6"/>
      <c r="O25" s="4" t="s">
        <v>32</v>
      </c>
      <c r="P25" s="4" t="s">
        <v>33</v>
      </c>
      <c r="Q25" s="4" t="s">
        <v>32</v>
      </c>
      <c r="R25" s="4" t="s">
        <v>32</v>
      </c>
      <c r="S25" s="4" t="s">
        <v>32</v>
      </c>
      <c r="T25" s="6"/>
      <c r="U25" s="4" t="s">
        <v>33</v>
      </c>
      <c r="V25" s="4" t="s">
        <v>33</v>
      </c>
      <c r="W25" s="4" t="s">
        <v>32</v>
      </c>
      <c r="X25" s="4" t="s">
        <v>33</v>
      </c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</row>
    <row r="26">
      <c r="A26" s="3">
        <v>8.0</v>
      </c>
      <c r="B26" s="8" t="s">
        <v>33</v>
      </c>
      <c r="C26" s="4" t="s">
        <v>33</v>
      </c>
      <c r="D26" s="4" t="s">
        <v>33</v>
      </c>
      <c r="E26" s="4" t="s">
        <v>33</v>
      </c>
      <c r="F26" s="6"/>
      <c r="G26" s="6"/>
      <c r="H26" s="4" t="s">
        <v>33</v>
      </c>
      <c r="I26" s="4" t="s">
        <v>33</v>
      </c>
      <c r="J26" s="4" t="s">
        <v>33</v>
      </c>
      <c r="K26" s="4" t="s">
        <v>33</v>
      </c>
      <c r="L26" s="4" t="s">
        <v>33</v>
      </c>
      <c r="M26" s="4" t="s">
        <v>33</v>
      </c>
      <c r="N26" s="6"/>
      <c r="O26" s="4" t="s">
        <v>33</v>
      </c>
      <c r="P26" s="4" t="s">
        <v>33</v>
      </c>
      <c r="Q26" s="4" t="s">
        <v>33</v>
      </c>
      <c r="R26" s="4" t="s">
        <v>32</v>
      </c>
      <c r="S26" s="4" t="s">
        <v>33</v>
      </c>
      <c r="T26" s="6"/>
      <c r="U26" s="4" t="s">
        <v>33</v>
      </c>
      <c r="V26" s="4" t="s">
        <v>33</v>
      </c>
      <c r="W26" s="4" t="s">
        <v>32</v>
      </c>
      <c r="X26" s="4" t="s">
        <v>33</v>
      </c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</row>
    <row r="27">
      <c r="A27" s="3">
        <v>9.0</v>
      </c>
      <c r="B27" s="8" t="s">
        <v>33</v>
      </c>
      <c r="C27" s="4" t="s">
        <v>33</v>
      </c>
      <c r="D27" s="4" t="s">
        <v>33</v>
      </c>
      <c r="E27" s="4" t="s">
        <v>33</v>
      </c>
      <c r="F27" s="4" t="s">
        <v>33</v>
      </c>
      <c r="G27" s="6"/>
      <c r="H27" s="4" t="s">
        <v>33</v>
      </c>
      <c r="I27" s="4" t="s">
        <v>32</v>
      </c>
      <c r="J27" s="4" t="s">
        <v>32</v>
      </c>
      <c r="K27" s="4" t="s">
        <v>32</v>
      </c>
      <c r="L27" s="4" t="s">
        <v>32</v>
      </c>
      <c r="M27" s="4" t="s">
        <v>33</v>
      </c>
      <c r="N27" s="6"/>
      <c r="O27" s="4" t="s">
        <v>33</v>
      </c>
      <c r="P27" s="4" t="s">
        <v>33</v>
      </c>
      <c r="Q27" s="4" t="s">
        <v>33</v>
      </c>
      <c r="R27" s="4" t="s">
        <v>32</v>
      </c>
      <c r="S27" s="4" t="s">
        <v>32</v>
      </c>
      <c r="T27" s="6"/>
      <c r="U27" s="4" t="s">
        <v>32</v>
      </c>
      <c r="V27" s="4" t="s">
        <v>33</v>
      </c>
      <c r="W27" s="4" t="s">
        <v>32</v>
      </c>
      <c r="X27" s="4" t="s">
        <v>33</v>
      </c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</row>
    <row r="28">
      <c r="A28" s="3">
        <v>10.0</v>
      </c>
      <c r="B28" s="8" t="s">
        <v>33</v>
      </c>
      <c r="C28" s="4" t="s">
        <v>33</v>
      </c>
      <c r="D28" s="4" t="s">
        <v>32</v>
      </c>
      <c r="E28" s="4" t="s">
        <v>33</v>
      </c>
      <c r="F28" s="4" t="s">
        <v>33</v>
      </c>
      <c r="G28" s="6"/>
      <c r="H28" s="4" t="s">
        <v>32</v>
      </c>
      <c r="I28" s="4" t="s">
        <v>33</v>
      </c>
      <c r="J28" s="4" t="s">
        <v>32</v>
      </c>
      <c r="K28" s="4" t="s">
        <v>33</v>
      </c>
      <c r="L28" s="4" t="s">
        <v>32</v>
      </c>
      <c r="M28" s="4" t="s">
        <v>33</v>
      </c>
      <c r="N28" s="6"/>
      <c r="O28" s="4" t="s">
        <v>33</v>
      </c>
      <c r="P28" s="4" t="s">
        <v>33</v>
      </c>
      <c r="Q28" s="4" t="s">
        <v>33</v>
      </c>
      <c r="R28" s="4" t="s">
        <v>33</v>
      </c>
      <c r="S28" s="4" t="s">
        <v>33</v>
      </c>
      <c r="T28" s="6"/>
      <c r="U28" s="4" t="s">
        <v>33</v>
      </c>
      <c r="V28" s="4" t="s">
        <v>33</v>
      </c>
      <c r="W28" s="4" t="s">
        <v>33</v>
      </c>
      <c r="X28" s="4" t="s">
        <v>33</v>
      </c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</row>
    <row r="29">
      <c r="A29" s="9"/>
      <c r="B29" s="9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</row>
    <row r="30">
      <c r="A30" s="9"/>
      <c r="B30" s="9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</row>
    <row r="31">
      <c r="A31" s="9"/>
      <c r="B31" s="9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</row>
    <row r="32">
      <c r="A32" s="9"/>
      <c r="B32" s="9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</row>
    <row r="33">
      <c r="A33" s="9"/>
      <c r="B33" s="9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</row>
    <row r="34">
      <c r="A34" s="9"/>
      <c r="B34" s="9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</row>
    <row r="35">
      <c r="A35" s="9"/>
      <c r="B35" s="9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</row>
    <row r="36">
      <c r="A36" s="1" t="s">
        <v>62</v>
      </c>
      <c r="B36" s="1" t="s">
        <v>63</v>
      </c>
      <c r="C36" s="1" t="s">
        <v>64</v>
      </c>
      <c r="D36" s="2"/>
      <c r="E36" s="2"/>
      <c r="F36" s="2"/>
      <c r="G36" s="2"/>
      <c r="H36" s="2"/>
      <c r="I36" s="1" t="s">
        <v>65</v>
      </c>
      <c r="J36" s="2"/>
      <c r="K36" s="2"/>
      <c r="L36" s="2"/>
      <c r="M36" s="2"/>
      <c r="N36" s="2"/>
      <c r="O36" s="1" t="s">
        <v>4</v>
      </c>
      <c r="P36" s="2"/>
      <c r="Q36" s="2"/>
      <c r="R36" s="2"/>
      <c r="S36" s="2"/>
      <c r="T36" s="2"/>
      <c r="U36" s="1" t="s">
        <v>5</v>
      </c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</row>
    <row r="37">
      <c r="A37" s="3" t="s">
        <v>6</v>
      </c>
      <c r="B37" s="3" t="s">
        <v>7</v>
      </c>
      <c r="C37" s="4" t="s">
        <v>66</v>
      </c>
      <c r="D37" s="4" t="s">
        <v>67</v>
      </c>
      <c r="E37" s="4" t="s">
        <v>68</v>
      </c>
      <c r="F37" s="4" t="s">
        <v>69</v>
      </c>
      <c r="G37" s="4" t="s">
        <v>70</v>
      </c>
      <c r="H37" s="4" t="s">
        <v>71</v>
      </c>
      <c r="I37" s="4" t="s">
        <v>72</v>
      </c>
      <c r="J37" s="4" t="s">
        <v>73</v>
      </c>
      <c r="K37" s="4" t="s">
        <v>74</v>
      </c>
      <c r="L37" s="4" t="s">
        <v>75</v>
      </c>
      <c r="M37" s="4" t="s">
        <v>76</v>
      </c>
      <c r="N37" s="4" t="s">
        <v>77</v>
      </c>
      <c r="O37" s="4" t="s">
        <v>78</v>
      </c>
      <c r="P37" s="4" t="s">
        <v>79</v>
      </c>
      <c r="Q37" s="4" t="s">
        <v>80</v>
      </c>
      <c r="R37" s="4" t="s">
        <v>81</v>
      </c>
      <c r="S37" s="4" t="s">
        <v>82</v>
      </c>
      <c r="T37" s="4" t="s">
        <v>83</v>
      </c>
      <c r="U37" s="4" t="s">
        <v>84</v>
      </c>
      <c r="V37" s="4" t="s">
        <v>85</v>
      </c>
      <c r="W37" s="4" t="s">
        <v>86</v>
      </c>
      <c r="X37" s="4" t="s">
        <v>87</v>
      </c>
      <c r="Y37" s="4" t="s">
        <v>88</v>
      </c>
      <c r="Z37" s="4" t="s">
        <v>89</v>
      </c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</row>
    <row r="38">
      <c r="A38" s="3">
        <v>1.0</v>
      </c>
      <c r="B38" s="5" t="s">
        <v>32</v>
      </c>
      <c r="C38" s="4" t="s">
        <v>32</v>
      </c>
      <c r="D38" s="7" t="s">
        <v>32</v>
      </c>
      <c r="E38" s="4" t="s">
        <v>32</v>
      </c>
      <c r="F38" s="4" t="s">
        <v>32</v>
      </c>
      <c r="G38" s="6"/>
      <c r="H38" s="6"/>
      <c r="I38" s="4" t="s">
        <v>32</v>
      </c>
      <c r="J38" s="4" t="s">
        <v>32</v>
      </c>
      <c r="K38" s="4" t="s">
        <v>32</v>
      </c>
      <c r="L38" s="4" t="s">
        <v>33</v>
      </c>
      <c r="M38" s="4" t="s">
        <v>33</v>
      </c>
      <c r="N38" s="6"/>
      <c r="O38" s="4" t="s">
        <v>33</v>
      </c>
      <c r="P38" s="4" t="s">
        <v>32</v>
      </c>
      <c r="Q38" s="4" t="s">
        <v>32</v>
      </c>
      <c r="R38" s="4" t="s">
        <v>33</v>
      </c>
      <c r="S38" s="4" t="s">
        <v>32</v>
      </c>
      <c r="T38" s="6"/>
      <c r="U38" s="4" t="s">
        <v>32</v>
      </c>
      <c r="V38" s="4" t="s">
        <v>32</v>
      </c>
      <c r="W38" s="4" t="s">
        <v>32</v>
      </c>
      <c r="X38" s="4" t="s">
        <v>32</v>
      </c>
      <c r="Y38" s="6"/>
      <c r="Z38" s="4" t="s">
        <v>32</v>
      </c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</row>
    <row r="39">
      <c r="A39" s="3">
        <v>2.0</v>
      </c>
      <c r="B39" s="8" t="s">
        <v>33</v>
      </c>
      <c r="C39" s="4" t="s">
        <v>33</v>
      </c>
      <c r="D39" s="7" t="s">
        <v>32</v>
      </c>
      <c r="E39" s="4" t="s">
        <v>32</v>
      </c>
      <c r="F39" s="4" t="s">
        <v>32</v>
      </c>
      <c r="G39" s="6"/>
      <c r="H39" s="6"/>
      <c r="I39" s="4" t="s">
        <v>33</v>
      </c>
      <c r="J39" s="4" t="s">
        <v>33</v>
      </c>
      <c r="K39" s="4" t="s">
        <v>33</v>
      </c>
      <c r="L39" s="4" t="s">
        <v>33</v>
      </c>
      <c r="M39" s="4" t="s">
        <v>33</v>
      </c>
      <c r="N39" s="6"/>
      <c r="O39" s="4" t="s">
        <v>33</v>
      </c>
      <c r="P39" s="4" t="s">
        <v>33</v>
      </c>
      <c r="Q39" s="4" t="s">
        <v>33</v>
      </c>
      <c r="R39" s="4" t="s">
        <v>32</v>
      </c>
      <c r="S39" s="4" t="s">
        <v>33</v>
      </c>
      <c r="T39" s="6"/>
      <c r="U39" s="4" t="s">
        <v>32</v>
      </c>
      <c r="V39" s="4" t="s">
        <v>32</v>
      </c>
      <c r="W39" s="4" t="s">
        <v>33</v>
      </c>
      <c r="X39" s="4" t="s">
        <v>32</v>
      </c>
      <c r="Y39" s="6"/>
      <c r="Z39" s="4" t="s">
        <v>32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</row>
    <row r="40">
      <c r="A40" s="3">
        <v>3.0</v>
      </c>
      <c r="B40" s="8" t="s">
        <v>33</v>
      </c>
      <c r="C40" s="4" t="s">
        <v>33</v>
      </c>
      <c r="D40" s="7" t="s">
        <v>32</v>
      </c>
      <c r="E40" s="4" t="s">
        <v>32</v>
      </c>
      <c r="F40" s="4" t="s">
        <v>33</v>
      </c>
      <c r="G40" s="6"/>
      <c r="H40" s="6"/>
      <c r="I40" s="4" t="s">
        <v>33</v>
      </c>
      <c r="J40" s="4" t="s">
        <v>33</v>
      </c>
      <c r="K40" s="4" t="s">
        <v>32</v>
      </c>
      <c r="L40" s="4" t="s">
        <v>32</v>
      </c>
      <c r="M40" s="4" t="s">
        <v>33</v>
      </c>
      <c r="N40" s="6"/>
      <c r="O40" s="4" t="s">
        <v>32</v>
      </c>
      <c r="P40" s="4" t="s">
        <v>33</v>
      </c>
      <c r="Q40" s="4" t="s">
        <v>33</v>
      </c>
      <c r="R40" s="4" t="s">
        <v>33</v>
      </c>
      <c r="S40" s="4" t="s">
        <v>33</v>
      </c>
      <c r="T40" s="6"/>
      <c r="U40" s="4" t="s">
        <v>33</v>
      </c>
      <c r="V40" s="4" t="s">
        <v>33</v>
      </c>
      <c r="W40" s="4" t="s">
        <v>33</v>
      </c>
      <c r="X40" s="4" t="s">
        <v>33</v>
      </c>
      <c r="Y40" s="6"/>
      <c r="Z40" s="4" t="s">
        <v>33</v>
      </c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</row>
    <row r="41">
      <c r="A41" s="3">
        <v>4.0</v>
      </c>
      <c r="B41" s="5" t="s">
        <v>32</v>
      </c>
      <c r="C41" s="4" t="s">
        <v>33</v>
      </c>
      <c r="D41" s="7" t="s">
        <v>32</v>
      </c>
      <c r="E41" s="4" t="s">
        <v>32</v>
      </c>
      <c r="F41" s="4" t="s">
        <v>32</v>
      </c>
      <c r="G41" s="6"/>
      <c r="H41" s="6"/>
      <c r="I41" s="4" t="s">
        <v>32</v>
      </c>
      <c r="J41" s="4" t="s">
        <v>32</v>
      </c>
      <c r="K41" s="4" t="s">
        <v>32</v>
      </c>
      <c r="L41" s="4" t="s">
        <v>32</v>
      </c>
      <c r="M41" s="4" t="s">
        <v>32</v>
      </c>
      <c r="N41" s="6"/>
      <c r="O41" s="4" t="s">
        <v>32</v>
      </c>
      <c r="P41" s="4" t="s">
        <v>32</v>
      </c>
      <c r="Q41" s="4" t="s">
        <v>32</v>
      </c>
      <c r="R41" s="4" t="s">
        <v>33</v>
      </c>
      <c r="S41" s="4" t="s">
        <v>32</v>
      </c>
      <c r="T41" s="6"/>
      <c r="U41" s="4" t="s">
        <v>32</v>
      </c>
      <c r="V41" s="4" t="s">
        <v>32</v>
      </c>
      <c r="W41" s="4" t="s">
        <v>32</v>
      </c>
      <c r="X41" s="4" t="s">
        <v>32</v>
      </c>
      <c r="Y41" s="6"/>
      <c r="Z41" s="4" t="s">
        <v>32</v>
      </c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</row>
    <row r="42">
      <c r="A42" s="3">
        <v>5.0</v>
      </c>
      <c r="B42" s="5" t="s">
        <v>32</v>
      </c>
      <c r="C42" s="4" t="s">
        <v>32</v>
      </c>
      <c r="D42" s="7" t="s">
        <v>32</v>
      </c>
      <c r="E42" s="4" t="s">
        <v>32</v>
      </c>
      <c r="F42" s="4" t="s">
        <v>33</v>
      </c>
      <c r="G42" s="6"/>
      <c r="H42" s="6"/>
      <c r="I42" s="4" t="s">
        <v>32</v>
      </c>
      <c r="J42" s="4" t="s">
        <v>32</v>
      </c>
      <c r="K42" s="4" t="s">
        <v>33</v>
      </c>
      <c r="L42" s="4" t="s">
        <v>32</v>
      </c>
      <c r="M42" s="4" t="s">
        <v>32</v>
      </c>
      <c r="N42" s="6"/>
      <c r="O42" s="4" t="s">
        <v>32</v>
      </c>
      <c r="P42" s="4" t="s">
        <v>32</v>
      </c>
      <c r="Q42" s="4" t="s">
        <v>32</v>
      </c>
      <c r="R42" s="4" t="s">
        <v>33</v>
      </c>
      <c r="S42" s="4" t="s">
        <v>32</v>
      </c>
      <c r="T42" s="6"/>
      <c r="U42" s="4" t="s">
        <v>32</v>
      </c>
      <c r="V42" s="4" t="s">
        <v>32</v>
      </c>
      <c r="W42" s="4" t="s">
        <v>32</v>
      </c>
      <c r="X42" s="4" t="s">
        <v>32</v>
      </c>
      <c r="Y42" s="6"/>
      <c r="Z42" s="4" t="s">
        <v>32</v>
      </c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</row>
    <row r="43">
      <c r="A43" s="3">
        <v>6.0</v>
      </c>
      <c r="B43" s="5" t="s">
        <v>32</v>
      </c>
      <c r="C43" s="4" t="s">
        <v>32</v>
      </c>
      <c r="D43" s="7" t="s">
        <v>32</v>
      </c>
      <c r="E43" s="4" t="s">
        <v>32</v>
      </c>
      <c r="F43" s="4" t="s">
        <v>32</v>
      </c>
      <c r="G43" s="6"/>
      <c r="H43" s="6"/>
      <c r="I43" s="4" t="s">
        <v>32</v>
      </c>
      <c r="J43" s="4" t="s">
        <v>32</v>
      </c>
      <c r="K43" s="4" t="s">
        <v>33</v>
      </c>
      <c r="L43" s="4" t="s">
        <v>32</v>
      </c>
      <c r="M43" s="4" t="s">
        <v>33</v>
      </c>
      <c r="N43" s="6"/>
      <c r="O43" s="4" t="s">
        <v>32</v>
      </c>
      <c r="P43" s="4" t="s">
        <v>33</v>
      </c>
      <c r="Q43" s="4" t="s">
        <v>32</v>
      </c>
      <c r="R43" s="4" t="s">
        <v>32</v>
      </c>
      <c r="S43" s="4" t="s">
        <v>33</v>
      </c>
      <c r="T43" s="6"/>
      <c r="U43" s="4" t="s">
        <v>33</v>
      </c>
      <c r="V43" s="4" t="s">
        <v>33</v>
      </c>
      <c r="W43" s="4" t="s">
        <v>33</v>
      </c>
      <c r="X43" s="4" t="s">
        <v>32</v>
      </c>
      <c r="Y43" s="6"/>
      <c r="Z43" s="4" t="s">
        <v>33</v>
      </c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</row>
    <row r="44">
      <c r="A44" s="3">
        <v>7.0</v>
      </c>
      <c r="B44" s="5" t="s">
        <v>32</v>
      </c>
      <c r="C44" s="4" t="s">
        <v>32</v>
      </c>
      <c r="D44" s="7" t="s">
        <v>32</v>
      </c>
      <c r="E44" s="4" t="s">
        <v>32</v>
      </c>
      <c r="F44" s="4" t="s">
        <v>32</v>
      </c>
      <c r="G44" s="6"/>
      <c r="H44" s="6"/>
      <c r="I44" s="4" t="s">
        <v>33</v>
      </c>
      <c r="J44" s="4" t="s">
        <v>32</v>
      </c>
      <c r="K44" s="4" t="s">
        <v>32</v>
      </c>
      <c r="L44" s="4" t="s">
        <v>32</v>
      </c>
      <c r="M44" s="4" t="s">
        <v>32</v>
      </c>
      <c r="N44" s="6"/>
      <c r="O44" s="4" t="s">
        <v>32</v>
      </c>
      <c r="P44" s="4" t="s">
        <v>32</v>
      </c>
      <c r="Q44" s="4" t="s">
        <v>32</v>
      </c>
      <c r="R44" s="4" t="s">
        <v>32</v>
      </c>
      <c r="S44" s="4" t="s">
        <v>32</v>
      </c>
      <c r="T44" s="6"/>
      <c r="U44" s="4" t="s">
        <v>32</v>
      </c>
      <c r="V44" s="4" t="s">
        <v>32</v>
      </c>
      <c r="W44" s="4" t="s">
        <v>32</v>
      </c>
      <c r="X44" s="4" t="s">
        <v>32</v>
      </c>
      <c r="Y44" s="6"/>
      <c r="Z44" s="4" t="s">
        <v>33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</row>
    <row r="45">
      <c r="A45" s="3">
        <v>8.0</v>
      </c>
      <c r="B45" s="8" t="s">
        <v>33</v>
      </c>
      <c r="C45" s="4" t="s">
        <v>32</v>
      </c>
      <c r="D45" s="7" t="s">
        <v>32</v>
      </c>
      <c r="E45" s="4" t="s">
        <v>33</v>
      </c>
      <c r="F45" s="4" t="s">
        <v>32</v>
      </c>
      <c r="G45" s="6"/>
      <c r="H45" s="6"/>
      <c r="I45" s="4" t="s">
        <v>32</v>
      </c>
      <c r="J45" s="4" t="s">
        <v>32</v>
      </c>
      <c r="K45" s="4" t="s">
        <v>33</v>
      </c>
      <c r="L45" s="4" t="s">
        <v>32</v>
      </c>
      <c r="M45" s="4" t="s">
        <v>32</v>
      </c>
      <c r="N45" s="6"/>
      <c r="O45" s="4" t="s">
        <v>32</v>
      </c>
      <c r="P45" s="4" t="s">
        <v>33</v>
      </c>
      <c r="Q45" s="4" t="s">
        <v>33</v>
      </c>
      <c r="R45" s="4" t="s">
        <v>33</v>
      </c>
      <c r="S45" s="4" t="s">
        <v>32</v>
      </c>
      <c r="T45" s="6"/>
      <c r="U45" s="4" t="s">
        <v>33</v>
      </c>
      <c r="V45" s="6"/>
      <c r="W45" s="4" t="s">
        <v>33</v>
      </c>
      <c r="X45" s="4" t="s">
        <v>33</v>
      </c>
      <c r="Y45" s="6"/>
      <c r="Z45" s="4" t="s">
        <v>33</v>
      </c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</row>
    <row r="46">
      <c r="A46" s="3">
        <v>9.0</v>
      </c>
      <c r="B46" s="8" t="s">
        <v>33</v>
      </c>
      <c r="C46" s="4" t="s">
        <v>32</v>
      </c>
      <c r="D46" s="7" t="s">
        <v>33</v>
      </c>
      <c r="E46" s="4" t="s">
        <v>33</v>
      </c>
      <c r="F46" s="4" t="s">
        <v>33</v>
      </c>
      <c r="G46" s="6"/>
      <c r="H46" s="6"/>
      <c r="I46" s="4" t="s">
        <v>33</v>
      </c>
      <c r="J46" s="4" t="s">
        <v>33</v>
      </c>
      <c r="K46" s="4" t="s">
        <v>32</v>
      </c>
      <c r="L46" s="4" t="s">
        <v>32</v>
      </c>
      <c r="M46" s="4" t="s">
        <v>33</v>
      </c>
      <c r="N46" s="6"/>
      <c r="O46" s="4" t="s">
        <v>33</v>
      </c>
      <c r="P46" s="4" t="s">
        <v>33</v>
      </c>
      <c r="Q46" s="4" t="s">
        <v>33</v>
      </c>
      <c r="R46" s="4" t="s">
        <v>32</v>
      </c>
      <c r="S46" s="4" t="s">
        <v>32</v>
      </c>
      <c r="T46" s="6"/>
      <c r="U46" s="4" t="s">
        <v>33</v>
      </c>
      <c r="V46" s="4" t="s">
        <v>33</v>
      </c>
      <c r="W46" s="4" t="s">
        <v>33</v>
      </c>
      <c r="X46" s="4" t="s">
        <v>33</v>
      </c>
      <c r="Y46" s="6"/>
      <c r="Z46" s="4" t="s">
        <v>32</v>
      </c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</row>
    <row r="47">
      <c r="A47" s="3">
        <v>10.0</v>
      </c>
      <c r="B47" s="8" t="s">
        <v>33</v>
      </c>
      <c r="C47" s="4" t="s">
        <v>33</v>
      </c>
      <c r="D47" s="7" t="s">
        <v>32</v>
      </c>
      <c r="E47" s="4" t="s">
        <v>32</v>
      </c>
      <c r="F47" s="4" t="s">
        <v>33</v>
      </c>
      <c r="G47" s="6"/>
      <c r="H47" s="6"/>
      <c r="I47" s="4" t="s">
        <v>33</v>
      </c>
      <c r="J47" s="4" t="s">
        <v>33</v>
      </c>
      <c r="K47" s="4" t="s">
        <v>33</v>
      </c>
      <c r="L47" s="4" t="s">
        <v>33</v>
      </c>
      <c r="M47" s="4" t="s">
        <v>33</v>
      </c>
      <c r="N47" s="6"/>
      <c r="O47" s="4" t="s">
        <v>33</v>
      </c>
      <c r="P47" s="4" t="s">
        <v>33</v>
      </c>
      <c r="Q47" s="4" t="s">
        <v>33</v>
      </c>
      <c r="R47" s="4" t="s">
        <v>33</v>
      </c>
      <c r="S47" s="4" t="s">
        <v>33</v>
      </c>
      <c r="T47" s="6"/>
      <c r="U47" s="4" t="s">
        <v>33</v>
      </c>
      <c r="V47" s="4" t="s">
        <v>33</v>
      </c>
      <c r="W47" s="4" t="s">
        <v>33</v>
      </c>
      <c r="X47" s="4" t="s">
        <v>33</v>
      </c>
      <c r="Y47" s="6"/>
      <c r="Z47" s="4" t="s">
        <v>33</v>
      </c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</row>
    <row r="48">
      <c r="A48" s="9"/>
      <c r="B48" s="9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</row>
    <row r="49">
      <c r="A49" s="9"/>
      <c r="B49" s="9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</row>
    <row r="50">
      <c r="A50" s="9"/>
      <c r="B50" s="9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</row>
    <row r="51">
      <c r="A51" s="9"/>
      <c r="B51" s="9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</row>
    <row r="52">
      <c r="A52" s="1" t="s">
        <v>90</v>
      </c>
      <c r="B52" s="1" t="s">
        <v>91</v>
      </c>
      <c r="C52" s="1" t="s">
        <v>92</v>
      </c>
      <c r="D52" s="2"/>
      <c r="E52" s="2"/>
      <c r="F52" s="2"/>
      <c r="G52" s="2"/>
      <c r="H52" s="2"/>
      <c r="I52" s="1" t="s">
        <v>93</v>
      </c>
      <c r="J52" s="2"/>
      <c r="K52" s="2"/>
      <c r="L52" s="2"/>
      <c r="M52" s="2"/>
      <c r="N52" s="2"/>
      <c r="O52" s="1" t="s">
        <v>4</v>
      </c>
      <c r="P52" s="2"/>
      <c r="Q52" s="2"/>
      <c r="R52" s="2"/>
      <c r="S52" s="2"/>
      <c r="T52" s="2"/>
      <c r="U52" s="1" t="s">
        <v>5</v>
      </c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</row>
    <row r="53">
      <c r="A53" s="3" t="s">
        <v>6</v>
      </c>
      <c r="B53" s="3" t="s">
        <v>7</v>
      </c>
      <c r="C53" s="4" t="s">
        <v>94</v>
      </c>
      <c r="D53" s="4" t="s">
        <v>95</v>
      </c>
      <c r="E53" s="4" t="s">
        <v>96</v>
      </c>
      <c r="F53" s="4" t="s">
        <v>97</v>
      </c>
      <c r="G53" s="4" t="s">
        <v>98</v>
      </c>
      <c r="H53" s="4" t="s">
        <v>99</v>
      </c>
      <c r="I53" s="4" t="s">
        <v>100</v>
      </c>
      <c r="J53" s="4" t="s">
        <v>101</v>
      </c>
      <c r="K53" s="4" t="s">
        <v>102</v>
      </c>
      <c r="L53" s="4" t="s">
        <v>103</v>
      </c>
      <c r="M53" s="4" t="s">
        <v>104</v>
      </c>
      <c r="N53" s="4" t="s">
        <v>105</v>
      </c>
      <c r="O53" s="4" t="s">
        <v>106</v>
      </c>
      <c r="P53" s="4" t="s">
        <v>107</v>
      </c>
      <c r="Q53" s="4" t="s">
        <v>108</v>
      </c>
      <c r="R53" s="4" t="s">
        <v>109</v>
      </c>
      <c r="S53" s="4" t="s">
        <v>110</v>
      </c>
      <c r="T53" s="4" t="s">
        <v>111</v>
      </c>
      <c r="U53" s="4" t="s">
        <v>112</v>
      </c>
      <c r="V53" s="4" t="s">
        <v>113</v>
      </c>
      <c r="W53" s="4" t="s">
        <v>114</v>
      </c>
      <c r="X53" s="4" t="s">
        <v>115</v>
      </c>
      <c r="Y53" s="4" t="s">
        <v>116</v>
      </c>
      <c r="Z53" s="4" t="s">
        <v>117</v>
      </c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</row>
    <row r="54">
      <c r="A54" s="3">
        <v>1.0</v>
      </c>
      <c r="B54" s="12" t="s">
        <v>118</v>
      </c>
      <c r="C54" s="4" t="s">
        <v>118</v>
      </c>
      <c r="D54" s="4" t="s">
        <v>118</v>
      </c>
      <c r="E54" s="4" t="s">
        <v>118</v>
      </c>
      <c r="F54" s="4" t="s">
        <v>118</v>
      </c>
      <c r="G54" s="4" t="s">
        <v>118</v>
      </c>
      <c r="H54" s="6"/>
      <c r="I54" s="4" t="s">
        <v>118</v>
      </c>
      <c r="J54" s="4" t="s">
        <v>118</v>
      </c>
      <c r="K54" s="4" t="s">
        <v>118</v>
      </c>
      <c r="L54" s="4" t="s">
        <v>118</v>
      </c>
      <c r="M54" s="6"/>
      <c r="N54" s="4" t="s">
        <v>118</v>
      </c>
      <c r="O54" s="4" t="s">
        <v>118</v>
      </c>
      <c r="P54" s="4" t="s">
        <v>118</v>
      </c>
      <c r="Q54" s="4" t="s">
        <v>118</v>
      </c>
      <c r="R54" s="4" t="s">
        <v>118</v>
      </c>
      <c r="S54" s="6"/>
      <c r="T54" s="6"/>
      <c r="U54" s="4" t="s">
        <v>118</v>
      </c>
      <c r="V54" s="4" t="s">
        <v>118</v>
      </c>
      <c r="W54" s="4" t="s">
        <v>118</v>
      </c>
      <c r="X54" s="4" t="s">
        <v>118</v>
      </c>
      <c r="Y54" s="4" t="s">
        <v>118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</row>
    <row r="55">
      <c r="A55" s="3">
        <v>2.0</v>
      </c>
      <c r="B55" s="8" t="s">
        <v>33</v>
      </c>
      <c r="C55" s="4" t="s">
        <v>33</v>
      </c>
      <c r="D55" s="4" t="s">
        <v>33</v>
      </c>
      <c r="E55" s="4" t="s">
        <v>33</v>
      </c>
      <c r="F55" s="4" t="s">
        <v>33</v>
      </c>
      <c r="G55" s="4" t="s">
        <v>33</v>
      </c>
      <c r="H55" s="6"/>
      <c r="I55" s="4" t="s">
        <v>33</v>
      </c>
      <c r="J55" s="4" t="s">
        <v>33</v>
      </c>
      <c r="K55" s="4" t="s">
        <v>33</v>
      </c>
      <c r="L55" s="4" t="s">
        <v>33</v>
      </c>
      <c r="M55" s="6"/>
      <c r="N55" s="4" t="s">
        <v>33</v>
      </c>
      <c r="O55" s="4" t="s">
        <v>33</v>
      </c>
      <c r="P55" s="4" t="s">
        <v>33</v>
      </c>
      <c r="Q55" s="4" t="s">
        <v>33</v>
      </c>
      <c r="R55" s="4" t="s">
        <v>33</v>
      </c>
      <c r="S55" s="6"/>
      <c r="T55" s="6"/>
      <c r="U55" s="4" t="s">
        <v>33</v>
      </c>
      <c r="V55" s="4" t="s">
        <v>33</v>
      </c>
      <c r="W55" s="4" t="s">
        <v>33</v>
      </c>
      <c r="X55" s="4" t="s">
        <v>33</v>
      </c>
      <c r="Y55" s="4" t="s">
        <v>33</v>
      </c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</row>
    <row r="56">
      <c r="A56" s="3">
        <v>3.0</v>
      </c>
      <c r="B56" s="8" t="s">
        <v>33</v>
      </c>
      <c r="C56" s="4" t="s">
        <v>33</v>
      </c>
      <c r="D56" s="4" t="s">
        <v>33</v>
      </c>
      <c r="E56" s="4" t="s">
        <v>33</v>
      </c>
      <c r="F56" s="4" t="s">
        <v>33</v>
      </c>
      <c r="G56" s="4" t="s">
        <v>33</v>
      </c>
      <c r="H56" s="6"/>
      <c r="I56" s="4" t="s">
        <v>33</v>
      </c>
      <c r="J56" s="4" t="s">
        <v>33</v>
      </c>
      <c r="K56" s="4" t="s">
        <v>33</v>
      </c>
      <c r="L56" s="4" t="s">
        <v>33</v>
      </c>
      <c r="M56" s="6"/>
      <c r="N56" s="4" t="s">
        <v>33</v>
      </c>
      <c r="O56" s="4" t="s">
        <v>33</v>
      </c>
      <c r="P56" s="4" t="s">
        <v>33</v>
      </c>
      <c r="Q56" s="4" t="s">
        <v>33</v>
      </c>
      <c r="R56" s="4" t="s">
        <v>33</v>
      </c>
      <c r="S56" s="6"/>
      <c r="T56" s="6"/>
      <c r="U56" s="4" t="s">
        <v>33</v>
      </c>
      <c r="V56" s="4" t="s">
        <v>33</v>
      </c>
      <c r="W56" s="4" t="s">
        <v>33</v>
      </c>
      <c r="X56" s="4" t="s">
        <v>33</v>
      </c>
      <c r="Y56" s="4" t="s">
        <v>33</v>
      </c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</row>
    <row r="57">
      <c r="A57" s="3">
        <v>4.0</v>
      </c>
      <c r="B57" s="12" t="s">
        <v>118</v>
      </c>
      <c r="C57" s="4" t="s">
        <v>118</v>
      </c>
      <c r="D57" s="4" t="s">
        <v>118</v>
      </c>
      <c r="E57" s="4" t="s">
        <v>118</v>
      </c>
      <c r="F57" s="4" t="s">
        <v>118</v>
      </c>
      <c r="G57" s="4" t="s">
        <v>118</v>
      </c>
      <c r="H57" s="6"/>
      <c r="I57" s="4" t="s">
        <v>118</v>
      </c>
      <c r="J57" s="4" t="s">
        <v>118</v>
      </c>
      <c r="K57" s="4" t="s">
        <v>118</v>
      </c>
      <c r="L57" s="4" t="s">
        <v>118</v>
      </c>
      <c r="M57" s="6"/>
      <c r="N57" s="4" t="s">
        <v>118</v>
      </c>
      <c r="O57" s="4" t="s">
        <v>118</v>
      </c>
      <c r="P57" s="4" t="s">
        <v>118</v>
      </c>
      <c r="Q57" s="4" t="s">
        <v>118</v>
      </c>
      <c r="R57" s="4" t="s">
        <v>118</v>
      </c>
      <c r="S57" s="6"/>
      <c r="T57" s="6"/>
      <c r="U57" s="4" t="s">
        <v>118</v>
      </c>
      <c r="V57" s="4" t="s">
        <v>118</v>
      </c>
      <c r="W57" s="4" t="s">
        <v>118</v>
      </c>
      <c r="X57" s="4" t="s">
        <v>32</v>
      </c>
      <c r="Y57" s="4" t="s">
        <v>118</v>
      </c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</row>
    <row r="58">
      <c r="A58" s="3">
        <v>5.0</v>
      </c>
      <c r="B58" s="5" t="s">
        <v>32</v>
      </c>
      <c r="C58" s="4" t="s">
        <v>32</v>
      </c>
      <c r="D58" s="4" t="s">
        <v>32</v>
      </c>
      <c r="E58" s="4" t="s">
        <v>32</v>
      </c>
      <c r="F58" s="4" t="s">
        <v>32</v>
      </c>
      <c r="G58" s="4" t="s">
        <v>32</v>
      </c>
      <c r="H58" s="6"/>
      <c r="I58" s="4" t="s">
        <v>32</v>
      </c>
      <c r="J58" s="4" t="s">
        <v>32</v>
      </c>
      <c r="K58" s="4" t="s">
        <v>32</v>
      </c>
      <c r="L58" s="4" t="s">
        <v>32</v>
      </c>
      <c r="M58" s="6"/>
      <c r="N58" s="4" t="s">
        <v>32</v>
      </c>
      <c r="O58" s="4" t="s">
        <v>32</v>
      </c>
      <c r="P58" s="4" t="s">
        <v>32</v>
      </c>
      <c r="Q58" s="4" t="s">
        <v>32</v>
      </c>
      <c r="R58" s="4" t="s">
        <v>32</v>
      </c>
      <c r="S58" s="6"/>
      <c r="T58" s="6"/>
      <c r="U58" s="4" t="s">
        <v>32</v>
      </c>
      <c r="V58" s="4" t="s">
        <v>32</v>
      </c>
      <c r="W58" s="4" t="s">
        <v>32</v>
      </c>
      <c r="X58" s="4" t="s">
        <v>32</v>
      </c>
      <c r="Y58" s="4" t="s">
        <v>32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</row>
    <row r="59">
      <c r="A59" s="3">
        <v>6.0</v>
      </c>
      <c r="B59" s="5" t="s">
        <v>32</v>
      </c>
      <c r="C59" s="4" t="s">
        <v>32</v>
      </c>
      <c r="D59" s="4" t="s">
        <v>32</v>
      </c>
      <c r="E59" s="4" t="s">
        <v>32</v>
      </c>
      <c r="F59" s="4" t="s">
        <v>32</v>
      </c>
      <c r="G59" s="4" t="s">
        <v>32</v>
      </c>
      <c r="H59" s="6"/>
      <c r="I59" s="4" t="s">
        <v>32</v>
      </c>
      <c r="J59" s="4" t="s">
        <v>32</v>
      </c>
      <c r="K59" s="4" t="s">
        <v>32</v>
      </c>
      <c r="L59" s="4" t="s">
        <v>32</v>
      </c>
      <c r="M59" s="6"/>
      <c r="N59" s="4" t="s">
        <v>32</v>
      </c>
      <c r="O59" s="4" t="s">
        <v>32</v>
      </c>
      <c r="P59" s="4" t="s">
        <v>32</v>
      </c>
      <c r="Q59" s="4" t="s">
        <v>32</v>
      </c>
      <c r="R59" s="4" t="s">
        <v>32</v>
      </c>
      <c r="S59" s="6"/>
      <c r="T59" s="6"/>
      <c r="U59" s="4" t="s">
        <v>32</v>
      </c>
      <c r="V59" s="4" t="s">
        <v>32</v>
      </c>
      <c r="W59" s="4" t="s">
        <v>32</v>
      </c>
      <c r="X59" s="4" t="s">
        <v>32</v>
      </c>
      <c r="Y59" s="4" t="s">
        <v>32</v>
      </c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</row>
    <row r="60">
      <c r="A60" s="3">
        <v>7.0</v>
      </c>
      <c r="B60" s="12" t="s">
        <v>118</v>
      </c>
      <c r="C60" s="4" t="s">
        <v>118</v>
      </c>
      <c r="D60" s="4" t="s">
        <v>118</v>
      </c>
      <c r="E60" s="6"/>
      <c r="F60" s="4" t="s">
        <v>118</v>
      </c>
      <c r="G60" s="4" t="s">
        <v>118</v>
      </c>
      <c r="H60" s="6"/>
      <c r="I60" s="4" t="s">
        <v>118</v>
      </c>
      <c r="J60" s="4" t="s">
        <v>118</v>
      </c>
      <c r="K60" s="4" t="s">
        <v>118</v>
      </c>
      <c r="L60" s="4" t="s">
        <v>118</v>
      </c>
      <c r="M60" s="6"/>
      <c r="N60" s="4" t="s">
        <v>118</v>
      </c>
      <c r="O60" s="4" t="s">
        <v>118</v>
      </c>
      <c r="P60" s="4" t="s">
        <v>118</v>
      </c>
      <c r="Q60" s="4" t="s">
        <v>118</v>
      </c>
      <c r="R60" s="4" t="s">
        <v>118</v>
      </c>
      <c r="S60" s="6"/>
      <c r="T60" s="6"/>
      <c r="U60" s="4" t="s">
        <v>118</v>
      </c>
      <c r="V60" s="4" t="s">
        <v>118</v>
      </c>
      <c r="W60" s="4" t="s">
        <v>118</v>
      </c>
      <c r="X60" s="4" t="s">
        <v>33</v>
      </c>
      <c r="Y60" s="4" t="s">
        <v>118</v>
      </c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</row>
    <row r="61">
      <c r="A61" s="3">
        <v>8.0</v>
      </c>
      <c r="B61" s="5" t="s">
        <v>32</v>
      </c>
      <c r="C61" s="4" t="s">
        <v>32</v>
      </c>
      <c r="D61" s="4" t="s">
        <v>32</v>
      </c>
      <c r="E61" s="4" t="s">
        <v>32</v>
      </c>
      <c r="F61" s="4" t="s">
        <v>32</v>
      </c>
      <c r="G61" s="4" t="s">
        <v>32</v>
      </c>
      <c r="H61" s="6"/>
      <c r="I61" s="4" t="s">
        <v>32</v>
      </c>
      <c r="J61" s="4" t="s">
        <v>32</v>
      </c>
      <c r="K61" s="4" t="s">
        <v>32</v>
      </c>
      <c r="L61" s="4" t="s">
        <v>32</v>
      </c>
      <c r="M61" s="6"/>
      <c r="N61" s="4" t="s">
        <v>32</v>
      </c>
      <c r="O61" s="4" t="s">
        <v>32</v>
      </c>
      <c r="P61" s="4" t="s">
        <v>32</v>
      </c>
      <c r="Q61" s="4" t="s">
        <v>32</v>
      </c>
      <c r="R61" s="4" t="s">
        <v>32</v>
      </c>
      <c r="S61" s="6"/>
      <c r="T61" s="6"/>
      <c r="U61" s="4" t="s">
        <v>32</v>
      </c>
      <c r="V61" s="4" t="s">
        <v>32</v>
      </c>
      <c r="W61" s="4" t="s">
        <v>32</v>
      </c>
      <c r="X61" s="4" t="s">
        <v>32</v>
      </c>
      <c r="Y61" s="4" t="s">
        <v>32</v>
      </c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</row>
    <row r="62">
      <c r="A62" s="3">
        <v>9.0</v>
      </c>
      <c r="B62" s="8" t="s">
        <v>33</v>
      </c>
      <c r="C62" s="4" t="s">
        <v>33</v>
      </c>
      <c r="D62" s="4" t="s">
        <v>33</v>
      </c>
      <c r="E62" s="4" t="s">
        <v>33</v>
      </c>
      <c r="F62" s="4" t="s">
        <v>33</v>
      </c>
      <c r="G62" s="4" t="s">
        <v>33</v>
      </c>
      <c r="H62" s="6"/>
      <c r="I62" s="4" t="s">
        <v>33</v>
      </c>
      <c r="J62" s="4" t="s">
        <v>33</v>
      </c>
      <c r="K62" s="4" t="s">
        <v>33</v>
      </c>
      <c r="L62" s="4" t="s">
        <v>33</v>
      </c>
      <c r="M62" s="6"/>
      <c r="N62" s="4" t="s">
        <v>33</v>
      </c>
      <c r="O62" s="4" t="s">
        <v>33</v>
      </c>
      <c r="P62" s="4" t="s">
        <v>33</v>
      </c>
      <c r="Q62" s="4" t="s">
        <v>33</v>
      </c>
      <c r="R62" s="4" t="s">
        <v>33</v>
      </c>
      <c r="S62" s="6"/>
      <c r="T62" s="6"/>
      <c r="U62" s="4" t="s">
        <v>33</v>
      </c>
      <c r="V62" s="4" t="s">
        <v>33</v>
      </c>
      <c r="W62" s="4" t="s">
        <v>33</v>
      </c>
      <c r="X62" s="4" t="s">
        <v>33</v>
      </c>
      <c r="Y62" s="4" t="s">
        <v>33</v>
      </c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</row>
    <row r="63">
      <c r="A63" s="3">
        <v>10.0</v>
      </c>
      <c r="B63" s="8" t="s">
        <v>33</v>
      </c>
      <c r="C63" s="4" t="s">
        <v>33</v>
      </c>
      <c r="D63" s="4" t="s">
        <v>33</v>
      </c>
      <c r="E63" s="4" t="s">
        <v>33</v>
      </c>
      <c r="F63" s="4" t="s">
        <v>33</v>
      </c>
      <c r="G63" s="4" t="s">
        <v>33</v>
      </c>
      <c r="H63" s="6"/>
      <c r="I63" s="4" t="s">
        <v>33</v>
      </c>
      <c r="J63" s="4" t="s">
        <v>33</v>
      </c>
      <c r="K63" s="4" t="s">
        <v>33</v>
      </c>
      <c r="L63" s="4" t="s">
        <v>33</v>
      </c>
      <c r="M63" s="6"/>
      <c r="N63" s="4" t="s">
        <v>33</v>
      </c>
      <c r="O63" s="4" t="s">
        <v>33</v>
      </c>
      <c r="P63" s="4" t="s">
        <v>33</v>
      </c>
      <c r="Q63" s="4" t="s">
        <v>33</v>
      </c>
      <c r="R63" s="4" t="s">
        <v>33</v>
      </c>
      <c r="S63" s="6"/>
      <c r="T63" s="6"/>
      <c r="U63" s="4" t="s">
        <v>33</v>
      </c>
      <c r="V63" s="4" t="s">
        <v>33</v>
      </c>
      <c r="W63" s="4" t="s">
        <v>33</v>
      </c>
      <c r="X63" s="4" t="s">
        <v>33</v>
      </c>
      <c r="Y63" s="4" t="s">
        <v>33</v>
      </c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0</v>
      </c>
      <c r="B1" s="13" t="s">
        <v>1</v>
      </c>
      <c r="C1" s="4" t="s">
        <v>2</v>
      </c>
      <c r="D1" s="6"/>
      <c r="E1" s="6"/>
      <c r="F1" s="6"/>
      <c r="G1" s="6"/>
      <c r="H1" s="6"/>
      <c r="I1" s="4" t="s">
        <v>3</v>
      </c>
      <c r="J1" s="6"/>
      <c r="K1" s="6"/>
      <c r="L1" s="6"/>
      <c r="M1" s="6"/>
      <c r="N1" s="6"/>
      <c r="O1" s="4" t="s">
        <v>4</v>
      </c>
      <c r="P1" s="6"/>
      <c r="Q1" s="6"/>
      <c r="R1" s="6"/>
      <c r="S1" s="6"/>
      <c r="T1" s="6"/>
      <c r="U1" s="4" t="s">
        <v>5</v>
      </c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</row>
    <row r="2">
      <c r="A2" s="3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4" t="s">
        <v>17</v>
      </c>
      <c r="M2" s="4" t="s">
        <v>18</v>
      </c>
      <c r="N2" s="4" t="s">
        <v>19</v>
      </c>
      <c r="O2" s="4" t="s">
        <v>20</v>
      </c>
      <c r="P2" s="4" t="s">
        <v>21</v>
      </c>
      <c r="Q2" s="4" t="s">
        <v>22</v>
      </c>
      <c r="R2" s="4" t="s">
        <v>23</v>
      </c>
      <c r="S2" s="4" t="s">
        <v>24</v>
      </c>
      <c r="T2" s="4" t="s">
        <v>25</v>
      </c>
      <c r="U2" s="4" t="s">
        <v>26</v>
      </c>
      <c r="V2" s="4" t="s">
        <v>27</v>
      </c>
      <c r="W2" s="4" t="s">
        <v>28</v>
      </c>
      <c r="X2" s="4" t="s">
        <v>29</v>
      </c>
      <c r="Y2" s="4" t="s">
        <v>30</v>
      </c>
      <c r="Z2" s="4" t="s">
        <v>31</v>
      </c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</row>
    <row r="3">
      <c r="B3" s="14" t="str">
        <f>Sheet1!B3</f>
        <v>b</v>
      </c>
      <c r="C3" s="15">
        <f>if($B3=Sheet1!C3,1,0)</f>
        <v>1</v>
      </c>
      <c r="D3" s="15">
        <f>if($B3=Sheet1!D3,1,0)</f>
        <v>1</v>
      </c>
      <c r="E3" s="15">
        <f>if($B3=Sheet1!E3,1,0)</f>
        <v>1</v>
      </c>
      <c r="F3" s="15">
        <f>if($B3=Sheet1!F3,1,0)</f>
        <v>1</v>
      </c>
      <c r="G3" s="15">
        <f>if($B3=Sheet1!G3,1,0)</f>
        <v>1</v>
      </c>
      <c r="H3" s="15">
        <f>if($B3=Sheet1!H3,1,0)</f>
        <v>0</v>
      </c>
      <c r="I3" s="15">
        <f>if($B3=Sheet1!I3,1,0)</f>
        <v>1</v>
      </c>
      <c r="J3" s="15">
        <f>if($B3=Sheet1!J3,1,0)</f>
        <v>1</v>
      </c>
      <c r="K3" s="15">
        <f>if($B3=Sheet1!K3,1,0)</f>
        <v>1</v>
      </c>
      <c r="L3" s="15">
        <f>if($B3=Sheet1!L3,1,0)</f>
        <v>1</v>
      </c>
      <c r="M3" s="15">
        <f>if($B3=Sheet1!M3,1,0)</f>
        <v>0</v>
      </c>
      <c r="N3" s="15">
        <f>if($B3=Sheet1!N3,1,0)</f>
        <v>0</v>
      </c>
      <c r="O3" s="15">
        <f>if($B3=Sheet1!O3,1,0)</f>
        <v>0</v>
      </c>
      <c r="P3" s="15">
        <f>if($B3=Sheet1!P3,1,0)</f>
        <v>0</v>
      </c>
      <c r="Q3" s="15">
        <f>if($B3=Sheet1!Q3,1,0)</f>
        <v>1</v>
      </c>
      <c r="R3" s="15">
        <f>if($B3=Sheet1!R3,1,0)</f>
        <v>1</v>
      </c>
      <c r="S3" s="15">
        <f>if($B3=Sheet1!S3,1,0)</f>
        <v>0</v>
      </c>
      <c r="T3" s="15">
        <f>if($B3=Sheet1!T3,1,0)</f>
        <v>1</v>
      </c>
      <c r="U3" s="15">
        <f>if($B3=Sheet1!U3,1,0)</f>
        <v>0</v>
      </c>
      <c r="V3" s="15">
        <f>if($B3=Sheet1!V3,1,0)</f>
        <v>1</v>
      </c>
      <c r="W3" s="15">
        <f>if($B3=Sheet1!W3,1,0)</f>
        <v>1</v>
      </c>
      <c r="X3" s="15">
        <f>if($B3=Sheet1!X3,1,0)</f>
        <v>1</v>
      </c>
      <c r="Y3" s="15">
        <f>if($B3=Sheet1!Y3,1,0)</f>
        <v>1</v>
      </c>
      <c r="Z3" s="15">
        <f>if($B3=Sheet1!Z3,1,0)</f>
        <v>0</v>
      </c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</row>
    <row r="4">
      <c r="B4" s="14" t="str">
        <f>Sheet1!B4</f>
        <v>r</v>
      </c>
      <c r="C4" s="15">
        <f>if(B4=Sheet1!C4,1,0)</f>
        <v>0</v>
      </c>
      <c r="D4" s="15">
        <f>if($B4=Sheet1!D4,1,0)</f>
        <v>1</v>
      </c>
      <c r="E4" s="15">
        <f>if($B4=Sheet1!E4,1,0)</f>
        <v>0</v>
      </c>
      <c r="F4" s="15">
        <f>if($B4=Sheet1!F4,1,0)</f>
        <v>0</v>
      </c>
      <c r="G4" s="15">
        <f>if($B4=Sheet1!G4,1,0)</f>
        <v>0</v>
      </c>
      <c r="H4" s="15">
        <f>if($B4=Sheet1!H4,1,0)</f>
        <v>0</v>
      </c>
      <c r="I4" s="15">
        <f>if($B4=Sheet1!I4,1,0)</f>
        <v>1</v>
      </c>
      <c r="J4" s="15">
        <f>if($B4=Sheet1!J4,1,0)</f>
        <v>0</v>
      </c>
      <c r="K4" s="15">
        <f>if($B4=Sheet1!K4,1,0)</f>
        <v>0</v>
      </c>
      <c r="L4" s="15">
        <f>if($B4=Sheet1!L4,1,0)</f>
        <v>1</v>
      </c>
      <c r="M4" s="15">
        <f>if($B4=Sheet1!M4,1,0)</f>
        <v>0</v>
      </c>
      <c r="N4" s="15">
        <f>if($B4=Sheet1!N4,1,0)</f>
        <v>0</v>
      </c>
      <c r="O4" s="15">
        <f>if($B4=Sheet1!O4,1,0)</f>
        <v>1</v>
      </c>
      <c r="P4" s="15">
        <f>if($B4=Sheet1!P4,1,0)</f>
        <v>0</v>
      </c>
      <c r="Q4" s="15">
        <f>if($B4=Sheet1!Q4,1,0)</f>
        <v>1</v>
      </c>
      <c r="R4" s="15">
        <f>if($B4=Sheet1!R4,1,0)</f>
        <v>1</v>
      </c>
      <c r="S4" s="15">
        <f>if($B4=Sheet1!S4,1,0)</f>
        <v>0</v>
      </c>
      <c r="T4" s="15">
        <f>if($B4=Sheet1!T4,1,0)</f>
        <v>1</v>
      </c>
      <c r="U4" s="15">
        <f>if($B4=Sheet1!U4,1,0)</f>
        <v>0</v>
      </c>
      <c r="V4" s="15">
        <f>if($B4=Sheet1!V4,1,0)</f>
        <v>1</v>
      </c>
      <c r="W4" s="15">
        <f>if($B4=Sheet1!W4,1,0)</f>
        <v>0</v>
      </c>
      <c r="X4" s="15">
        <f>if($B4=Sheet1!X4,1,0)</f>
        <v>1</v>
      </c>
      <c r="Y4" s="15">
        <f>if($B4=Sheet1!Y4,1,0)</f>
        <v>1</v>
      </c>
      <c r="Z4" s="15">
        <f>if($B4=Sheet1!Z4,1,0)</f>
        <v>0</v>
      </c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</row>
    <row r="5">
      <c r="B5" s="14" t="str">
        <f>Sheet1!B5</f>
        <v>r</v>
      </c>
      <c r="C5" s="15">
        <f>if(B5=Sheet1!C5,1,0)</f>
        <v>1</v>
      </c>
      <c r="D5" s="15">
        <f>if($B5=Sheet1!D5,1,0)</f>
        <v>1</v>
      </c>
      <c r="E5" s="15">
        <f>if($B5=Sheet1!E5,1,0)</f>
        <v>1</v>
      </c>
      <c r="F5" s="15">
        <f>if($B5=Sheet1!F5,1,0)</f>
        <v>1</v>
      </c>
      <c r="G5" s="15">
        <f>if($B5=Sheet1!G5,1,0)</f>
        <v>1</v>
      </c>
      <c r="H5" s="15">
        <f>if($B5=Sheet1!H5,1,0)</f>
        <v>0</v>
      </c>
      <c r="I5" s="15">
        <f>if($B5=Sheet1!I5,1,0)</f>
        <v>1</v>
      </c>
      <c r="J5" s="15">
        <f>if($B5=Sheet1!J5,1,0)</f>
        <v>1</v>
      </c>
      <c r="K5" s="15">
        <f>if($B5=Sheet1!K5,1,0)</f>
        <v>1</v>
      </c>
      <c r="L5" s="15">
        <f>if($B5=Sheet1!L5,1,0)</f>
        <v>1</v>
      </c>
      <c r="M5" s="15">
        <f>if($B5=Sheet1!M5,1,0)</f>
        <v>0</v>
      </c>
      <c r="N5" s="15">
        <f>if($B5=Sheet1!N5,1,0)</f>
        <v>0</v>
      </c>
      <c r="O5" s="15">
        <f>if($B5=Sheet1!O5,1,0)</f>
        <v>1</v>
      </c>
      <c r="P5" s="15">
        <f>if($B5=Sheet1!P5,1,0)</f>
        <v>0</v>
      </c>
      <c r="Q5" s="15">
        <f>if($B5=Sheet1!Q5,1,0)</f>
        <v>1</v>
      </c>
      <c r="R5" s="15">
        <f>if($B5=Sheet1!R5,1,0)</f>
        <v>1</v>
      </c>
      <c r="S5" s="15">
        <f>if($B5=Sheet1!S5,1,0)</f>
        <v>0</v>
      </c>
      <c r="T5" s="15">
        <f>if($B5=Sheet1!T5,1,0)</f>
        <v>1</v>
      </c>
      <c r="U5" s="15">
        <f>if($B5=Sheet1!U5,1,0)</f>
        <v>1</v>
      </c>
      <c r="V5" s="15">
        <f>if($B5=Sheet1!V5,1,0)</f>
        <v>0</v>
      </c>
      <c r="W5" s="15">
        <f>if($B5=Sheet1!W5,1,0)</f>
        <v>0</v>
      </c>
      <c r="X5" s="15">
        <f>if($B5=Sheet1!X5,1,0)</f>
        <v>0</v>
      </c>
      <c r="Y5" s="15">
        <f>if($B5=Sheet1!Y5,1,0)</f>
        <v>1</v>
      </c>
      <c r="Z5" s="15">
        <f>if($B5=Sheet1!Z5,1,0)</f>
        <v>0</v>
      </c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</row>
    <row r="6">
      <c r="B6" s="14" t="str">
        <f>Sheet1!B6</f>
        <v>b</v>
      </c>
      <c r="C6" s="15">
        <f>if(B6=Sheet1!C6,1,0)</f>
        <v>1</v>
      </c>
      <c r="D6" s="15">
        <f>if($B6=Sheet1!D6,1,0)</f>
        <v>1</v>
      </c>
      <c r="E6" s="15">
        <f>if($B6=Sheet1!E6,1,0)</f>
        <v>1</v>
      </c>
      <c r="F6" s="15">
        <f>if($B6=Sheet1!F6,1,0)</f>
        <v>1</v>
      </c>
      <c r="G6" s="15">
        <f>if($B6=Sheet1!G6,1,0)</f>
        <v>1</v>
      </c>
      <c r="H6" s="15">
        <f>if($B6=Sheet1!H6,1,0)</f>
        <v>0</v>
      </c>
      <c r="I6" s="15">
        <f>if($B6=Sheet1!I6,1,0)</f>
        <v>1</v>
      </c>
      <c r="J6" s="15">
        <f>if($B6=Sheet1!J6,1,0)</f>
        <v>1</v>
      </c>
      <c r="K6" s="15">
        <f>if($B6=Sheet1!K6,1,0)</f>
        <v>1</v>
      </c>
      <c r="L6" s="15">
        <f>if($B6=Sheet1!L6,1,0)</f>
        <v>0</v>
      </c>
      <c r="M6" s="15">
        <f>if($B6=Sheet1!M6,1,0)</f>
        <v>0</v>
      </c>
      <c r="N6" s="15">
        <f>if($B6=Sheet1!N6,1,0)</f>
        <v>0</v>
      </c>
      <c r="O6" s="15">
        <f>if($B6=Sheet1!O6,1,0)</f>
        <v>1</v>
      </c>
      <c r="P6" s="15">
        <f>if($B6=Sheet1!P6,1,0)</f>
        <v>1</v>
      </c>
      <c r="Q6" s="15">
        <f>if($B6=Sheet1!Q6,1,0)</f>
        <v>1</v>
      </c>
      <c r="R6" s="15">
        <f>if($B6=Sheet1!R6,1,0)</f>
        <v>1</v>
      </c>
      <c r="S6" s="15">
        <f>if($B6=Sheet1!S6,1,0)</f>
        <v>0</v>
      </c>
      <c r="T6" s="15">
        <f>if($B6=Sheet1!T6,1,0)</f>
        <v>1</v>
      </c>
      <c r="U6" s="15">
        <f>if($B6=Sheet1!U6,1,0)</f>
        <v>1</v>
      </c>
      <c r="V6" s="15">
        <f>if($B6=Sheet1!V6,1,0)</f>
        <v>1</v>
      </c>
      <c r="W6" s="15">
        <f>if($B6=Sheet1!W6,1,0)</f>
        <v>1</v>
      </c>
      <c r="X6" s="15">
        <f>if($B6=Sheet1!X6,1,0)</f>
        <v>1</v>
      </c>
      <c r="Y6" s="15">
        <f>if($B6=Sheet1!Y6,1,0)</f>
        <v>1</v>
      </c>
      <c r="Z6" s="15">
        <f>if($B6=Sheet1!Z6,1,0)</f>
        <v>0</v>
      </c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</row>
    <row r="7">
      <c r="B7" s="14" t="str">
        <f>Sheet1!B7</f>
        <v>b</v>
      </c>
      <c r="C7" s="15">
        <f>if(B7=Sheet1!C7,1,0)</f>
        <v>1</v>
      </c>
      <c r="D7" s="15">
        <f>if($B7=Sheet1!D7,1,0)</f>
        <v>0</v>
      </c>
      <c r="E7" s="15">
        <f>if($B7=Sheet1!E7,1,0)</f>
        <v>0</v>
      </c>
      <c r="F7" s="15">
        <f>if($B7=Sheet1!F7,1,0)</f>
        <v>0</v>
      </c>
      <c r="G7" s="15">
        <f>if($B7=Sheet1!G7,1,0)</f>
        <v>1</v>
      </c>
      <c r="H7" s="15">
        <f>if($B7=Sheet1!H7,1,0)</f>
        <v>0</v>
      </c>
      <c r="I7" s="15">
        <f>if($B7=Sheet1!I7,1,0)</f>
        <v>1</v>
      </c>
      <c r="J7" s="15">
        <f>if($B7=Sheet1!J7,1,0)</f>
        <v>1</v>
      </c>
      <c r="K7" s="15">
        <f>if($B7=Sheet1!K7,1,0)</f>
        <v>1</v>
      </c>
      <c r="L7" s="15">
        <f>if($B7=Sheet1!L7,1,0)</f>
        <v>1</v>
      </c>
      <c r="M7" s="15">
        <f>if($B7=Sheet1!M7,1,0)</f>
        <v>0</v>
      </c>
      <c r="N7" s="15">
        <f>if($B7=Sheet1!N7,1,0)</f>
        <v>0</v>
      </c>
      <c r="O7" s="15">
        <f>if($B7=Sheet1!O7,1,0)</f>
        <v>0</v>
      </c>
      <c r="P7" s="15">
        <f>if($B7=Sheet1!P7,1,0)</f>
        <v>0</v>
      </c>
      <c r="Q7" s="15">
        <f>if($B7=Sheet1!Q7,1,0)</f>
        <v>1</v>
      </c>
      <c r="R7" s="15">
        <f>if($B7=Sheet1!R7,1,0)</f>
        <v>1</v>
      </c>
      <c r="S7" s="15">
        <f>if($B7=Sheet1!S7,1,0)</f>
        <v>0</v>
      </c>
      <c r="T7" s="15">
        <f>if($B7=Sheet1!T7,1,0)</f>
        <v>0</v>
      </c>
      <c r="U7" s="15">
        <f>if($B7=Sheet1!U7,1,0)</f>
        <v>1</v>
      </c>
      <c r="V7" s="15">
        <f>if($B7=Sheet1!V7,1,0)</f>
        <v>1</v>
      </c>
      <c r="W7" s="15">
        <f>if($B7=Sheet1!W7,1,0)</f>
        <v>1</v>
      </c>
      <c r="X7" s="15">
        <f>if($B7=Sheet1!X7,1,0)</f>
        <v>0</v>
      </c>
      <c r="Y7" s="15">
        <f>if($B7=Sheet1!Y7,1,0)</f>
        <v>0</v>
      </c>
      <c r="Z7" s="15">
        <f>if($B7=Sheet1!Z7,1,0)</f>
        <v>0</v>
      </c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</row>
    <row r="8">
      <c r="B8" s="14" t="str">
        <f>Sheet1!B8</f>
        <v>b</v>
      </c>
      <c r="C8" s="15">
        <f>if(B8=Sheet1!C8,1,0)</f>
        <v>1</v>
      </c>
      <c r="D8" s="15">
        <f>if($B8=Sheet1!D8,1,0)</f>
        <v>1</v>
      </c>
      <c r="E8" s="15">
        <f>if($B8=Sheet1!E8,1,0)</f>
        <v>0</v>
      </c>
      <c r="F8" s="15">
        <f>if($B8=Sheet1!F8,1,0)</f>
        <v>1</v>
      </c>
      <c r="G8" s="15">
        <f>if($B8=Sheet1!G8,1,0)</f>
        <v>1</v>
      </c>
      <c r="H8" s="15">
        <f>if($B8=Sheet1!H8,1,0)</f>
        <v>0</v>
      </c>
      <c r="I8" s="15">
        <f>if($B8=Sheet1!I8,1,0)</f>
        <v>1</v>
      </c>
      <c r="J8" s="15">
        <f>if($B8=Sheet1!J8,1,0)</f>
        <v>1</v>
      </c>
      <c r="K8" s="15">
        <f>if($B8=Sheet1!K8,1,0)</f>
        <v>1</v>
      </c>
      <c r="L8" s="15">
        <f>if($B8=Sheet1!L8,1,0)</f>
        <v>1</v>
      </c>
      <c r="M8" s="15">
        <f>if($B8=Sheet1!M8,1,0)</f>
        <v>0</v>
      </c>
      <c r="N8" s="15">
        <f>if($B8=Sheet1!N8,1,0)</f>
        <v>0</v>
      </c>
      <c r="O8" s="15">
        <f>if($B8=Sheet1!O8,1,0)</f>
        <v>1</v>
      </c>
      <c r="P8" s="15">
        <f>if($B8=Sheet1!P8,1,0)</f>
        <v>1</v>
      </c>
      <c r="Q8" s="15">
        <f>if($B8=Sheet1!Q8,1,0)</f>
        <v>1</v>
      </c>
      <c r="R8" s="15">
        <f>if($B8=Sheet1!R8,1,0)</f>
        <v>1</v>
      </c>
      <c r="S8" s="15">
        <f>if($B8=Sheet1!S8,1,0)</f>
        <v>0</v>
      </c>
      <c r="T8" s="15">
        <f>if($B8=Sheet1!T8,1,0)</f>
        <v>1</v>
      </c>
      <c r="U8" s="15">
        <f>if($B8=Sheet1!U8,1,0)</f>
        <v>1</v>
      </c>
      <c r="V8" s="15">
        <f>if($B8=Sheet1!V8,1,0)</f>
        <v>1</v>
      </c>
      <c r="W8" s="15">
        <f>if($B8=Sheet1!W8,1,0)</f>
        <v>1</v>
      </c>
      <c r="X8" s="15">
        <f>if($B8=Sheet1!X8,1,0)</f>
        <v>1</v>
      </c>
      <c r="Y8" s="15">
        <f>if($B8=Sheet1!Y8,1,0)</f>
        <v>1</v>
      </c>
      <c r="Z8" s="15">
        <f>if($B8=Sheet1!Z8,1,0)</f>
        <v>0</v>
      </c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</row>
    <row r="9">
      <c r="B9" s="14" t="str">
        <f>Sheet1!B9</f>
        <v>b</v>
      </c>
      <c r="C9" s="15">
        <f>if(B9=Sheet1!C9,1,0)</f>
        <v>1</v>
      </c>
      <c r="D9" s="15">
        <f>if($B9=Sheet1!D9,1,0)</f>
        <v>1</v>
      </c>
      <c r="E9" s="15">
        <f>if($B9=Sheet1!E9,1,0)</f>
        <v>1</v>
      </c>
      <c r="F9" s="15">
        <f>if($B9=Sheet1!F9,1,0)</f>
        <v>1</v>
      </c>
      <c r="G9" s="15">
        <f>if($B9=Sheet1!G9,1,0)</f>
        <v>1</v>
      </c>
      <c r="H9" s="15">
        <f>if($B9=Sheet1!H9,1,0)</f>
        <v>0</v>
      </c>
      <c r="I9" s="15">
        <f>if($B9=Sheet1!I9,1,0)</f>
        <v>1</v>
      </c>
      <c r="J9" s="15">
        <f>if($B9=Sheet1!J9,1,0)</f>
        <v>1</v>
      </c>
      <c r="K9" s="15">
        <f>if($B9=Sheet1!K9,1,0)</f>
        <v>1</v>
      </c>
      <c r="L9" s="15">
        <f>if($B9=Sheet1!L9,1,0)</f>
        <v>1</v>
      </c>
      <c r="M9" s="15">
        <f>if($B9=Sheet1!M9,1,0)</f>
        <v>0</v>
      </c>
      <c r="N9" s="15">
        <f>if($B9=Sheet1!N9,1,0)</f>
        <v>0</v>
      </c>
      <c r="O9" s="15">
        <f>if($B9=Sheet1!O9,1,0)</f>
        <v>1</v>
      </c>
      <c r="P9" s="15">
        <f>if($B9=Sheet1!P9,1,0)</f>
        <v>1</v>
      </c>
      <c r="Q9" s="15">
        <f>if($B9=Sheet1!Q9,1,0)</f>
        <v>1</v>
      </c>
      <c r="R9" s="15">
        <f>if($B9=Sheet1!R9,1,0)</f>
        <v>1</v>
      </c>
      <c r="S9" s="15">
        <f>if($B9=Sheet1!S9,1,0)</f>
        <v>0</v>
      </c>
      <c r="T9" s="15">
        <f>if($B9=Sheet1!T9,1,0)</f>
        <v>0</v>
      </c>
      <c r="U9" s="15">
        <f>if($B9=Sheet1!U9,1,0)</f>
        <v>0</v>
      </c>
      <c r="V9" s="15">
        <f>if($B9=Sheet1!V9,1,0)</f>
        <v>1</v>
      </c>
      <c r="W9" s="15">
        <f>if($B9=Sheet1!W9,1,0)</f>
        <v>1</v>
      </c>
      <c r="X9" s="15">
        <f>if($B9=Sheet1!X9,1,0)</f>
        <v>0</v>
      </c>
      <c r="Y9" s="15">
        <f>if($B9=Sheet1!Y9,1,0)</f>
        <v>1</v>
      </c>
      <c r="Z9" s="15">
        <f>if($B9=Sheet1!Z9,1,0)</f>
        <v>0</v>
      </c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</row>
    <row r="10">
      <c r="B10" s="14" t="str">
        <f>Sheet1!B10</f>
        <v>r</v>
      </c>
      <c r="C10" s="15">
        <f>if(B10=Sheet1!C10,1,0)</f>
        <v>1</v>
      </c>
      <c r="D10" s="15">
        <f>if($B10=Sheet1!D10,1,0)</f>
        <v>1</v>
      </c>
      <c r="E10" s="15">
        <f>if($B10=Sheet1!E10,1,0)</f>
        <v>1</v>
      </c>
      <c r="F10" s="15">
        <f>if($B10=Sheet1!F10,1,0)</f>
        <v>1</v>
      </c>
      <c r="G10" s="15">
        <f>if($B10=Sheet1!G10,1,0)</f>
        <v>1</v>
      </c>
      <c r="H10" s="15">
        <f>if($B10=Sheet1!H10,1,0)</f>
        <v>0</v>
      </c>
      <c r="I10" s="15">
        <f>if($B10=Sheet1!I10,1,0)</f>
        <v>1</v>
      </c>
      <c r="J10" s="15">
        <f>if($B10=Sheet1!J10,1,0)</f>
        <v>1</v>
      </c>
      <c r="K10" s="15">
        <f>if($B10=Sheet1!K10,1,0)</f>
        <v>1</v>
      </c>
      <c r="L10" s="15">
        <f>if($B10=Sheet1!L10,1,0)</f>
        <v>0</v>
      </c>
      <c r="M10" s="15">
        <f>if($B10=Sheet1!M10,1,0)</f>
        <v>0</v>
      </c>
      <c r="N10" s="15">
        <f>if($B10=Sheet1!N10,1,0)</f>
        <v>0</v>
      </c>
      <c r="O10" s="15">
        <f>if($B10=Sheet1!O10,1,0)</f>
        <v>1</v>
      </c>
      <c r="P10" s="15">
        <f>if($B10=Sheet1!P10,1,0)</f>
        <v>1</v>
      </c>
      <c r="Q10" s="15">
        <f>if($B10=Sheet1!Q10,1,0)</f>
        <v>1</v>
      </c>
      <c r="R10" s="15">
        <f>if($B10=Sheet1!R10,1,0)</f>
        <v>1</v>
      </c>
      <c r="S10" s="15">
        <f>if($B10=Sheet1!S10,1,0)</f>
        <v>0</v>
      </c>
      <c r="T10" s="15">
        <f>if($B10=Sheet1!T10,1,0)</f>
        <v>1</v>
      </c>
      <c r="U10" s="15">
        <f>if($B10=Sheet1!U10,1,0)</f>
        <v>0</v>
      </c>
      <c r="V10" s="15">
        <f>if($B10=Sheet1!V10,1,0)</f>
        <v>1</v>
      </c>
      <c r="W10" s="15">
        <f>if($B10=Sheet1!W10,1,0)</f>
        <v>0</v>
      </c>
      <c r="X10" s="15">
        <f>if($B10=Sheet1!X10,1,0)</f>
        <v>1</v>
      </c>
      <c r="Y10" s="15">
        <f>if($B10=Sheet1!Y10,1,0)</f>
        <v>1</v>
      </c>
      <c r="Z10" s="15">
        <f>if($B10=Sheet1!Z10,1,0)</f>
        <v>0</v>
      </c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</row>
    <row r="11">
      <c r="B11" s="14" t="str">
        <f>Sheet1!B11</f>
        <v>r</v>
      </c>
      <c r="C11" s="15">
        <f>if(B11=Sheet1!C11,1,0)</f>
        <v>1</v>
      </c>
      <c r="D11" s="15">
        <f>if($B11=Sheet1!D11,1,0)</f>
        <v>1</v>
      </c>
      <c r="E11" s="15">
        <f>if($B11=Sheet1!E11,1,0)</f>
        <v>1</v>
      </c>
      <c r="F11" s="15">
        <f>if($B11=Sheet1!F11,1,0)</f>
        <v>1</v>
      </c>
      <c r="G11" s="15">
        <f>if($B11=Sheet1!G11,1,0)</f>
        <v>1</v>
      </c>
      <c r="H11" s="15">
        <f>if($B11=Sheet1!H11,1,0)</f>
        <v>0</v>
      </c>
      <c r="I11" s="15">
        <f>if($B11=Sheet1!I11,1,0)</f>
        <v>1</v>
      </c>
      <c r="J11" s="15">
        <f>if($B11=Sheet1!J11,1,0)</f>
        <v>1</v>
      </c>
      <c r="K11" s="15">
        <f>if($B11=Sheet1!K11,1,0)</f>
        <v>1</v>
      </c>
      <c r="L11" s="15">
        <f>if($B11=Sheet1!L11,1,0)</f>
        <v>1</v>
      </c>
      <c r="M11" s="15">
        <f>if($B11=Sheet1!M11,1,0)</f>
        <v>0</v>
      </c>
      <c r="N11" s="15">
        <f>if($B11=Sheet1!N11,1,0)</f>
        <v>0</v>
      </c>
      <c r="O11" s="15">
        <f>if($B11=Sheet1!O11,1,0)</f>
        <v>1</v>
      </c>
      <c r="P11" s="15">
        <f>if($B11=Sheet1!P11,1,0)</f>
        <v>1</v>
      </c>
      <c r="Q11" s="15">
        <f>if($B11=Sheet1!Q11,1,0)</f>
        <v>1</v>
      </c>
      <c r="R11" s="15">
        <f>if($B11=Sheet1!R11,1,0)</f>
        <v>1</v>
      </c>
      <c r="S11" s="15">
        <f>if($B11=Sheet1!S11,1,0)</f>
        <v>0</v>
      </c>
      <c r="T11" s="15">
        <f>if($B11=Sheet1!T11,1,0)</f>
        <v>1</v>
      </c>
      <c r="U11" s="15">
        <f>if($B11=Sheet1!U11,1,0)</f>
        <v>1</v>
      </c>
      <c r="V11" s="15">
        <f>if($B11=Sheet1!V11,1,0)</f>
        <v>1</v>
      </c>
      <c r="W11" s="15">
        <f>if($B11=Sheet1!W11,1,0)</f>
        <v>0</v>
      </c>
      <c r="X11" s="15">
        <f>if($B11=Sheet1!X11,1,0)</f>
        <v>0</v>
      </c>
      <c r="Y11" s="15">
        <f>if($B11=Sheet1!Y11,1,0)</f>
        <v>1</v>
      </c>
      <c r="Z11" s="15">
        <f>if($B11=Sheet1!Z11,1,0)</f>
        <v>0</v>
      </c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</row>
    <row r="12">
      <c r="B12" s="14" t="str">
        <f>Sheet1!B12</f>
        <v>r</v>
      </c>
      <c r="C12" s="15">
        <f>if(B12=Sheet1!C12,1,0)</f>
        <v>0</v>
      </c>
      <c r="D12" s="15">
        <f>if($B12=Sheet1!D12,1,0)</f>
        <v>0</v>
      </c>
      <c r="E12" s="15">
        <f>if($B12=Sheet1!E12,1,0)</f>
        <v>1</v>
      </c>
      <c r="F12" s="15">
        <f>if($B12=Sheet1!F12,1,0)</f>
        <v>0</v>
      </c>
      <c r="G12" s="15">
        <f>if($B12=Sheet1!G12,1,0)</f>
        <v>1</v>
      </c>
      <c r="H12" s="15">
        <f>if($B12=Sheet1!H12,1,0)</f>
        <v>0</v>
      </c>
      <c r="I12" s="15">
        <f>if($B12=Sheet1!I12,1,0)</f>
        <v>0</v>
      </c>
      <c r="J12" s="15">
        <f>if($B12=Sheet1!J12,1,0)</f>
        <v>0</v>
      </c>
      <c r="K12" s="15">
        <f>if($B12=Sheet1!K12,1,0)</f>
        <v>0</v>
      </c>
      <c r="L12" s="15">
        <f>if($B12=Sheet1!L12,1,0)</f>
        <v>1</v>
      </c>
      <c r="M12" s="15">
        <f>if($B12=Sheet1!M12,1,0)</f>
        <v>0</v>
      </c>
      <c r="N12" s="15">
        <f>if($B12=Sheet1!N12,1,0)</f>
        <v>0</v>
      </c>
      <c r="O12" s="15">
        <f>if($B12=Sheet1!O12,1,0)</f>
        <v>0</v>
      </c>
      <c r="P12" s="15">
        <f>if($B12=Sheet1!P12,1,0)</f>
        <v>0</v>
      </c>
      <c r="Q12" s="15">
        <f>if($B12=Sheet1!Q12,1,0)</f>
        <v>1</v>
      </c>
      <c r="R12" s="15">
        <f>if($B12=Sheet1!R12,1,0)</f>
        <v>0</v>
      </c>
      <c r="S12" s="15">
        <f>if($B12=Sheet1!S12,1,0)</f>
        <v>0</v>
      </c>
      <c r="T12" s="15">
        <f>if($B12=Sheet1!T12,1,0)</f>
        <v>0</v>
      </c>
      <c r="U12" s="15">
        <f>if($B12=Sheet1!U12,1,0)</f>
        <v>1</v>
      </c>
      <c r="V12" s="15">
        <f>if($B12=Sheet1!V12,1,0)</f>
        <v>1</v>
      </c>
      <c r="W12" s="15">
        <f>if($B12=Sheet1!W12,1,0)</f>
        <v>0</v>
      </c>
      <c r="X12" s="15">
        <f>if($B12=Sheet1!X12,1,0)</f>
        <v>0</v>
      </c>
      <c r="Y12" s="15">
        <f>if($B12=Sheet1!Y12,1,0)</f>
        <v>0</v>
      </c>
      <c r="Z12" s="15">
        <f>if($B12=Sheet1!Z12,1,0)</f>
        <v>0</v>
      </c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</row>
    <row r="13">
      <c r="A13" s="16"/>
      <c r="B13" s="17" t="s">
        <v>119</v>
      </c>
      <c r="C13" s="16">
        <f t="shared" ref="C13:Z13" si="1">SUM(C3:C12)/10</f>
        <v>0.8</v>
      </c>
      <c r="D13" s="16">
        <f t="shared" si="1"/>
        <v>0.8</v>
      </c>
      <c r="E13" s="16">
        <f t="shared" si="1"/>
        <v>0.7</v>
      </c>
      <c r="F13" s="16">
        <f t="shared" si="1"/>
        <v>0.7</v>
      </c>
      <c r="G13" s="16">
        <f t="shared" si="1"/>
        <v>0.9</v>
      </c>
      <c r="H13" s="16">
        <f t="shared" si="1"/>
        <v>0</v>
      </c>
      <c r="I13" s="16">
        <f t="shared" si="1"/>
        <v>0.9</v>
      </c>
      <c r="J13" s="16">
        <f t="shared" si="1"/>
        <v>0.8</v>
      </c>
      <c r="K13" s="16">
        <f t="shared" si="1"/>
        <v>0.8</v>
      </c>
      <c r="L13" s="16">
        <f t="shared" si="1"/>
        <v>0.8</v>
      </c>
      <c r="M13" s="16">
        <f t="shared" si="1"/>
        <v>0</v>
      </c>
      <c r="N13" s="16">
        <f t="shared" si="1"/>
        <v>0</v>
      </c>
      <c r="O13" s="16">
        <f t="shared" si="1"/>
        <v>0.7</v>
      </c>
      <c r="P13" s="16">
        <f t="shared" si="1"/>
        <v>0.5</v>
      </c>
      <c r="Q13" s="16">
        <f t="shared" si="1"/>
        <v>1</v>
      </c>
      <c r="R13" s="16">
        <f t="shared" si="1"/>
        <v>0.9</v>
      </c>
      <c r="S13" s="16">
        <f t="shared" si="1"/>
        <v>0</v>
      </c>
      <c r="T13" s="16">
        <f t="shared" si="1"/>
        <v>0.7</v>
      </c>
      <c r="U13" s="16">
        <f t="shared" si="1"/>
        <v>0.6</v>
      </c>
      <c r="V13" s="16">
        <f t="shared" si="1"/>
        <v>0.9</v>
      </c>
      <c r="W13" s="16">
        <f t="shared" si="1"/>
        <v>0.5</v>
      </c>
      <c r="X13" s="16">
        <f t="shared" si="1"/>
        <v>0.5</v>
      </c>
      <c r="Y13" s="16">
        <f t="shared" si="1"/>
        <v>0.8</v>
      </c>
      <c r="Z13" s="16">
        <f t="shared" si="1"/>
        <v>0</v>
      </c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</row>
    <row r="14">
      <c r="A14" s="15" t="s">
        <v>120</v>
      </c>
      <c r="B14" s="18"/>
      <c r="C14" s="19">
        <f>AVERAGEIF(C13:H13, "&lt;&gt;0", C13:H13)
</f>
        <v>0.78</v>
      </c>
      <c r="H14" s="4"/>
      <c r="I14" s="14">
        <f>AVERAGEIF(I13:N13, "&lt;&gt;0", I13:N13)
</f>
        <v>0.825</v>
      </c>
      <c r="O14" s="14">
        <f>AVERAGEIF(O13:T13, "&lt;&gt;0", O13:T13)
</f>
        <v>0.76</v>
      </c>
      <c r="U14" s="14">
        <f>AVERAGEIF(U13:Z13, "&lt;&gt;0", U13:Z13)
</f>
        <v>0.66</v>
      </c>
    </row>
    <row r="15">
      <c r="C15" s="14">
        <f>sum(CORREL(C3:C12,D3:D12),CORREL(C3:C12,E3:E12),CORREL(C3:C12,F3:F12),CORREL(C3:C12,G3:G12))/4</f>
        <v>0.5059117932</v>
      </c>
      <c r="D15" s="14">
        <f>sum(CORREL(D3:D12,C3:C12),CORREL(D3:D12,F3:F12),CORREL(D3:D12,G3:G12),CORREL(D3:D12,E3:E12))/4</f>
        <v>0.2975784598</v>
      </c>
      <c r="E15" s="14">
        <f>sum(CORREL(E3:E12,F3:F12),CORREL(E3:E12,G3:G12),CORREL(E3:E12,C3:C12),CORREL(E3:E12,D3:D12))/4</f>
        <v>0.3673550954</v>
      </c>
      <c r="F15" s="14">
        <f>sum(CORREL(F3:F12,C3:C12),CORREL(F3:F12,D3:D12),CORREL(F3:F12,E3:E12),CORREL(F3:F12,G3:G12))/4</f>
        <v>0.6401274582</v>
      </c>
      <c r="G15" s="14">
        <f>sum(CORREL(G3:G12,D3:D12),CORREL(G3:G12,E3:E12),CORREL(G3:G12,F3:F12),CORREL(G3:G12,C3:C12))/4</f>
        <v>0.3795875386</v>
      </c>
    </row>
    <row r="17">
      <c r="A17" s="10" t="s">
        <v>34</v>
      </c>
      <c r="B17" s="10" t="s">
        <v>35</v>
      </c>
      <c r="C17" s="1" t="s">
        <v>36</v>
      </c>
      <c r="D17" s="2"/>
      <c r="E17" s="2"/>
      <c r="F17" s="2"/>
      <c r="G17" s="2"/>
      <c r="H17" s="2"/>
      <c r="I17" s="1" t="s">
        <v>37</v>
      </c>
      <c r="J17" s="2"/>
      <c r="K17" s="2"/>
      <c r="L17" s="2"/>
      <c r="M17" s="2"/>
      <c r="N17" s="2"/>
      <c r="O17" s="1" t="s">
        <v>4</v>
      </c>
      <c r="P17" s="2"/>
      <c r="Q17" s="2"/>
      <c r="R17" s="2"/>
      <c r="S17" s="2"/>
      <c r="T17" s="2"/>
      <c r="U17" s="1" t="s">
        <v>5</v>
      </c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>
      <c r="A18" s="3" t="s">
        <v>6</v>
      </c>
      <c r="B18" s="3" t="s">
        <v>7</v>
      </c>
      <c r="C18" s="4" t="s">
        <v>38</v>
      </c>
      <c r="D18" s="4" t="s">
        <v>39</v>
      </c>
      <c r="E18" s="4" t="s">
        <v>40</v>
      </c>
      <c r="F18" s="4" t="s">
        <v>41</v>
      </c>
      <c r="G18" s="4" t="s">
        <v>42</v>
      </c>
      <c r="H18" s="4" t="s">
        <v>43</v>
      </c>
      <c r="I18" s="4" t="s">
        <v>44</v>
      </c>
      <c r="J18" s="4" t="s">
        <v>45</v>
      </c>
      <c r="K18" s="4" t="s">
        <v>46</v>
      </c>
      <c r="L18" s="4" t="s">
        <v>47</v>
      </c>
      <c r="M18" s="4" t="s">
        <v>48</v>
      </c>
      <c r="N18" s="4" t="s">
        <v>49</v>
      </c>
      <c r="O18" s="4" t="s">
        <v>50</v>
      </c>
      <c r="P18" s="4" t="s">
        <v>51</v>
      </c>
      <c r="Q18" s="4" t="s">
        <v>52</v>
      </c>
      <c r="R18" s="4" t="s">
        <v>53</v>
      </c>
      <c r="S18" s="4" t="s">
        <v>54</v>
      </c>
      <c r="T18" s="4" t="s">
        <v>55</v>
      </c>
      <c r="U18" s="4" t="s">
        <v>56</v>
      </c>
      <c r="V18" s="4" t="s">
        <v>57</v>
      </c>
      <c r="W18" s="4" t="s">
        <v>58</v>
      </c>
      <c r="X18" s="4" t="s">
        <v>59</v>
      </c>
      <c r="Y18" s="4" t="s">
        <v>60</v>
      </c>
      <c r="Z18" s="4" t="s">
        <v>61</v>
      </c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>
      <c r="B19" s="14" t="str">
        <f>Sheet1!B19</f>
        <v>b</v>
      </c>
      <c r="C19" s="15">
        <f>if($B19=Sheet1!C19,1,0)</f>
        <v>1</v>
      </c>
      <c r="D19" s="15">
        <f>if($B19=Sheet1!D19,1,0)</f>
        <v>1</v>
      </c>
      <c r="E19" s="15">
        <f>if($B19=Sheet1!E19,1,0)</f>
        <v>1</v>
      </c>
      <c r="F19" s="15">
        <f>if($B19=Sheet1!F19,1,0)</f>
        <v>0</v>
      </c>
      <c r="G19" s="15">
        <f>if($B19=Sheet1!G19,1,0)</f>
        <v>0</v>
      </c>
      <c r="H19" s="15">
        <f>if($B19=Sheet1!H19,1,0)</f>
        <v>1</v>
      </c>
      <c r="I19" s="15">
        <f>if($B19=Sheet1!I19,1,0)</f>
        <v>1</v>
      </c>
      <c r="J19" s="15">
        <f>if($B19=Sheet1!J19,1,0)</f>
        <v>1</v>
      </c>
      <c r="K19" s="15">
        <f>if($B19=Sheet1!K19,1,0)</f>
        <v>1</v>
      </c>
      <c r="L19" s="15">
        <f>if($B19=Sheet1!L19,1,0)</f>
        <v>1</v>
      </c>
      <c r="M19" s="15">
        <f>if($B19=Sheet1!M19,1,0)</f>
        <v>1</v>
      </c>
      <c r="N19" s="15">
        <f>if($B19=Sheet1!N19,1,0)</f>
        <v>0</v>
      </c>
      <c r="O19" s="15">
        <f>if($B19=Sheet1!O19,1,0)</f>
        <v>1</v>
      </c>
      <c r="P19" s="15">
        <f>if($B19=Sheet1!P19,1,0)</f>
        <v>1</v>
      </c>
      <c r="Q19" s="15">
        <f>if($B19=Sheet1!Q19,1,0)</f>
        <v>1</v>
      </c>
      <c r="R19" s="15">
        <f>if($B19=Sheet1!R19,1,0)</f>
        <v>0</v>
      </c>
      <c r="S19" s="15">
        <f>if($B19=Sheet1!S19,1,0)</f>
        <v>1</v>
      </c>
      <c r="T19" s="15">
        <f>if($B19=Sheet1!T19,1,0)</f>
        <v>0</v>
      </c>
      <c r="U19" s="15">
        <f>if($B19=Sheet1!U19,1,0)</f>
        <v>1</v>
      </c>
      <c r="V19" s="15">
        <f>if($B19=Sheet1!V19,1,0)</f>
        <v>1</v>
      </c>
      <c r="W19" s="15">
        <f>if($B19=Sheet1!W19,1,0)</f>
        <v>1</v>
      </c>
      <c r="X19" s="15">
        <f>if($B19=Sheet1!X19,1,0)</f>
        <v>1</v>
      </c>
      <c r="Y19" s="15">
        <f>if($B19=Sheet1!Y19,1,0)</f>
        <v>0</v>
      </c>
      <c r="Z19" s="15">
        <f>if($B19=Sheet1!Z19,1,0)</f>
        <v>0</v>
      </c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</row>
    <row r="20">
      <c r="B20" s="14" t="str">
        <f>Sheet1!B20</f>
        <v>r</v>
      </c>
      <c r="C20" s="15">
        <f>if(B20=Sheet1!C20,1,0)</f>
        <v>1</v>
      </c>
      <c r="D20" s="15">
        <f>if($B20=Sheet1!D20,1,0)</f>
        <v>1</v>
      </c>
      <c r="E20" s="15">
        <f>if($B20=Sheet1!E20,1,0)</f>
        <v>1</v>
      </c>
      <c r="F20" s="15">
        <f>if($B20=Sheet1!F20,1,0)</f>
        <v>0</v>
      </c>
      <c r="G20" s="15">
        <f>if($B20=Sheet1!G20,1,0)</f>
        <v>0</v>
      </c>
      <c r="H20" s="15">
        <f>if($B20=Sheet1!H20,1,0)</f>
        <v>1</v>
      </c>
      <c r="I20" s="15">
        <f>if($B20=Sheet1!I20,1,0)</f>
        <v>1</v>
      </c>
      <c r="J20" s="15">
        <f>if($B20=Sheet1!J20,1,0)</f>
        <v>1</v>
      </c>
      <c r="K20" s="15">
        <f>if($B20=Sheet1!K20,1,0)</f>
        <v>1</v>
      </c>
      <c r="L20" s="15">
        <f>if($B20=Sheet1!L20,1,0)</f>
        <v>1</v>
      </c>
      <c r="M20" s="15">
        <f>if($B20=Sheet1!M20,1,0)</f>
        <v>1</v>
      </c>
      <c r="N20" s="15">
        <f>if($B20=Sheet1!N20,1,0)</f>
        <v>0</v>
      </c>
      <c r="O20" s="15">
        <f>if($B20=Sheet1!O20,1,0)</f>
        <v>0</v>
      </c>
      <c r="P20" s="15">
        <f>if($B20=Sheet1!P20,1,0)</f>
        <v>1</v>
      </c>
      <c r="Q20" s="15">
        <f>if($B20=Sheet1!Q20,1,0)</f>
        <v>1</v>
      </c>
      <c r="R20" s="15">
        <f>if($B20=Sheet1!R20,1,0)</f>
        <v>0</v>
      </c>
      <c r="S20" s="15">
        <f>if($B20=Sheet1!S20,1,0)</f>
        <v>1</v>
      </c>
      <c r="T20" s="15">
        <f>if($B20=Sheet1!T20,1,0)</f>
        <v>0</v>
      </c>
      <c r="U20" s="15">
        <f>if($B20=Sheet1!U20,1,0)</f>
        <v>1</v>
      </c>
      <c r="V20" s="15">
        <f>if($B20=Sheet1!V20,1,0)</f>
        <v>1</v>
      </c>
      <c r="W20" s="15">
        <f>if($B20=Sheet1!W20,1,0)</f>
        <v>1</v>
      </c>
      <c r="X20" s="15">
        <f>if($B20=Sheet1!X20,1,0)</f>
        <v>1</v>
      </c>
      <c r="Y20" s="15">
        <f>if($B20=Sheet1!Y20,1,0)</f>
        <v>0</v>
      </c>
      <c r="Z20" s="15">
        <f>if($B20=Sheet1!Z20,1,0)</f>
        <v>0</v>
      </c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</row>
    <row r="21">
      <c r="B21" s="14" t="str">
        <f>Sheet1!B21</f>
        <v>r</v>
      </c>
      <c r="C21" s="15">
        <f>if(B21=Sheet1!C21,1,0)</f>
        <v>1</v>
      </c>
      <c r="D21" s="15">
        <f>if($B21=Sheet1!D21,1,0)</f>
        <v>1</v>
      </c>
      <c r="E21" s="15">
        <f>if($B21=Sheet1!E21,1,0)</f>
        <v>1</v>
      </c>
      <c r="F21" s="15">
        <f>if($B21=Sheet1!F21,1,0)</f>
        <v>1</v>
      </c>
      <c r="G21" s="15">
        <f>if($B21=Sheet1!G21,1,0)</f>
        <v>0</v>
      </c>
      <c r="H21" s="15">
        <f>if($B21=Sheet1!H21,1,0)</f>
        <v>1</v>
      </c>
      <c r="I21" s="15">
        <f>if($B21=Sheet1!I21,1,0)</f>
        <v>1</v>
      </c>
      <c r="J21" s="15">
        <f>if($B21=Sheet1!J21,1,0)</f>
        <v>1</v>
      </c>
      <c r="K21" s="15">
        <f>if($B21=Sheet1!K21,1,0)</f>
        <v>1</v>
      </c>
      <c r="L21" s="15">
        <f>if($B21=Sheet1!L21,1,0)</f>
        <v>1</v>
      </c>
      <c r="M21" s="15">
        <f>if($B21=Sheet1!M21,1,0)</f>
        <v>1</v>
      </c>
      <c r="N21" s="15">
        <f>if($B21=Sheet1!N21,1,0)</f>
        <v>0</v>
      </c>
      <c r="O21" s="15">
        <f>if($B21=Sheet1!O21,1,0)</f>
        <v>0</v>
      </c>
      <c r="P21" s="15">
        <f>if($B21=Sheet1!P21,1,0)</f>
        <v>1</v>
      </c>
      <c r="Q21" s="15">
        <f>if($B21=Sheet1!Q21,1,0)</f>
        <v>1</v>
      </c>
      <c r="R21" s="15">
        <f>if($B21=Sheet1!R21,1,0)</f>
        <v>1</v>
      </c>
      <c r="S21" s="15">
        <f>if($B21=Sheet1!S21,1,0)</f>
        <v>1</v>
      </c>
      <c r="T21" s="15">
        <f>if($B21=Sheet1!T21,1,0)</f>
        <v>0</v>
      </c>
      <c r="U21" s="15">
        <f>if($B21=Sheet1!U21,1,0)</f>
        <v>1</v>
      </c>
      <c r="V21" s="15">
        <f>if($B21=Sheet1!V21,1,0)</f>
        <v>1</v>
      </c>
      <c r="W21" s="15">
        <f>if($B21=Sheet1!W21,1,0)</f>
        <v>1</v>
      </c>
      <c r="X21" s="15">
        <f>if($B21=Sheet1!X21,1,0)</f>
        <v>1</v>
      </c>
      <c r="Y21" s="15">
        <f>if($B21=Sheet1!Y21,1,0)</f>
        <v>0</v>
      </c>
      <c r="Z21" s="15">
        <f>if($B21=Sheet1!Z21,1,0)</f>
        <v>0</v>
      </c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</row>
    <row r="22">
      <c r="B22" s="14" t="str">
        <f>Sheet1!B22</f>
        <v>b</v>
      </c>
      <c r="C22" s="15">
        <f>if(B22=Sheet1!C22,1,0)</f>
        <v>0</v>
      </c>
      <c r="D22" s="15">
        <f>if($B22=Sheet1!D22,1,0)</f>
        <v>1</v>
      </c>
      <c r="E22" s="15">
        <f>if($B22=Sheet1!E22,1,0)</f>
        <v>0</v>
      </c>
      <c r="F22" s="15">
        <f>if($B22=Sheet1!F22,1,0)</f>
        <v>0</v>
      </c>
      <c r="G22" s="15">
        <f>if($B22=Sheet1!G22,1,0)</f>
        <v>0</v>
      </c>
      <c r="H22" s="15">
        <f>if($B22=Sheet1!H22,1,0)</f>
        <v>0</v>
      </c>
      <c r="I22" s="15">
        <f>if($B22=Sheet1!I22,1,0)</f>
        <v>0</v>
      </c>
      <c r="J22" s="15">
        <f>if($B22=Sheet1!J22,1,0)</f>
        <v>0</v>
      </c>
      <c r="K22" s="15">
        <f>if($B22=Sheet1!K22,1,0)</f>
        <v>0</v>
      </c>
      <c r="L22" s="15">
        <f>if($B22=Sheet1!L22,1,0)</f>
        <v>0</v>
      </c>
      <c r="M22" s="15">
        <f>if($B22=Sheet1!M22,1,0)</f>
        <v>1</v>
      </c>
      <c r="N22" s="15">
        <f>if($B22=Sheet1!N22,1,0)</f>
        <v>0</v>
      </c>
      <c r="O22" s="15">
        <f>if($B22=Sheet1!O22,1,0)</f>
        <v>1</v>
      </c>
      <c r="P22" s="15">
        <f>if($B22=Sheet1!P22,1,0)</f>
        <v>1</v>
      </c>
      <c r="Q22" s="15">
        <f>if($B22=Sheet1!Q22,1,0)</f>
        <v>1</v>
      </c>
      <c r="R22" s="15">
        <f>if($B22=Sheet1!R22,1,0)</f>
        <v>1</v>
      </c>
      <c r="S22" s="15">
        <f>if($B22=Sheet1!S22,1,0)</f>
        <v>1</v>
      </c>
      <c r="T22" s="15">
        <f>if($B22=Sheet1!T22,1,0)</f>
        <v>0</v>
      </c>
      <c r="U22" s="15">
        <f>if($B22=Sheet1!U22,1,0)</f>
        <v>0</v>
      </c>
      <c r="V22" s="15">
        <f>if($B22=Sheet1!V22,1,0)</f>
        <v>1</v>
      </c>
      <c r="W22" s="15">
        <f>if($B22=Sheet1!W22,1,0)</f>
        <v>1</v>
      </c>
      <c r="X22" s="15">
        <f>if($B22=Sheet1!X22,1,0)</f>
        <v>0</v>
      </c>
      <c r="Y22" s="15">
        <f>if($B22=Sheet1!Y22,1,0)</f>
        <v>0</v>
      </c>
      <c r="Z22" s="15">
        <f>if($B22=Sheet1!Z22,1,0)</f>
        <v>0</v>
      </c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</row>
    <row r="23">
      <c r="B23" s="14" t="str">
        <f>Sheet1!B23</f>
        <v>b</v>
      </c>
      <c r="C23" s="15">
        <f>if(B23=Sheet1!C23,1,0)</f>
        <v>1</v>
      </c>
      <c r="D23" s="15">
        <f>if($B23=Sheet1!D23,1,0)</f>
        <v>1</v>
      </c>
      <c r="E23" s="15">
        <f>if($B23=Sheet1!E23,1,0)</f>
        <v>0</v>
      </c>
      <c r="F23" s="15">
        <f>if($B23=Sheet1!F23,1,0)</f>
        <v>0</v>
      </c>
      <c r="G23" s="15">
        <f>if($B23=Sheet1!G23,1,0)</f>
        <v>0</v>
      </c>
      <c r="H23" s="15">
        <f>if($B23=Sheet1!H23,1,0)</f>
        <v>1</v>
      </c>
      <c r="I23" s="15">
        <f>if($B23=Sheet1!I23,1,0)</f>
        <v>1</v>
      </c>
      <c r="J23" s="15">
        <f>if($B23=Sheet1!J23,1,0)</f>
        <v>1</v>
      </c>
      <c r="K23" s="15">
        <f>if($B23=Sheet1!K23,1,0)</f>
        <v>1</v>
      </c>
      <c r="L23" s="15">
        <f>if($B23=Sheet1!L23,1,0)</f>
        <v>1</v>
      </c>
      <c r="M23" s="15">
        <f>if($B23=Sheet1!M23,1,0)</f>
        <v>1</v>
      </c>
      <c r="N23" s="15">
        <f>if($B23=Sheet1!N23,1,0)</f>
        <v>0</v>
      </c>
      <c r="O23" s="15">
        <f>if($B23=Sheet1!O23,1,0)</f>
        <v>0</v>
      </c>
      <c r="P23" s="15">
        <f>if($B23=Sheet1!P23,1,0)</f>
        <v>1</v>
      </c>
      <c r="Q23" s="15">
        <f>if($B23=Sheet1!Q23,1,0)</f>
        <v>0</v>
      </c>
      <c r="R23" s="15">
        <f>if($B23=Sheet1!R23,1,0)</f>
        <v>1</v>
      </c>
      <c r="S23" s="15">
        <f>if($B23=Sheet1!S23,1,0)</f>
        <v>1</v>
      </c>
      <c r="T23" s="15">
        <f>if($B23=Sheet1!T23,1,0)</f>
        <v>0</v>
      </c>
      <c r="U23" s="15">
        <f>if($B23=Sheet1!U23,1,0)</f>
        <v>1</v>
      </c>
      <c r="V23" s="15">
        <f>if($B23=Sheet1!V23,1,0)</f>
        <v>1</v>
      </c>
      <c r="W23" s="15">
        <f>if($B23=Sheet1!W23,1,0)</f>
        <v>1</v>
      </c>
      <c r="X23" s="15">
        <f>if($B23=Sheet1!X23,1,0)</f>
        <v>1</v>
      </c>
      <c r="Y23" s="15">
        <f>if($B23=Sheet1!Y23,1,0)</f>
        <v>0</v>
      </c>
      <c r="Z23" s="15">
        <f>if($B23=Sheet1!Z23,1,0)</f>
        <v>0</v>
      </c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</row>
    <row r="24">
      <c r="B24" s="14" t="str">
        <f>Sheet1!B24</f>
        <v>b</v>
      </c>
      <c r="C24" s="15">
        <f>if(B24=Sheet1!C24,1,0)</f>
        <v>1</v>
      </c>
      <c r="D24" s="15">
        <f>if($B24=Sheet1!D24,1,0)</f>
        <v>1</v>
      </c>
      <c r="E24" s="15">
        <f>if($B24=Sheet1!E24,1,0)</f>
        <v>1</v>
      </c>
      <c r="F24" s="15">
        <f>if($B24=Sheet1!F24,1,0)</f>
        <v>1</v>
      </c>
      <c r="G24" s="15">
        <f>if($B24=Sheet1!G24,1,0)</f>
        <v>0</v>
      </c>
      <c r="H24" s="15">
        <f>if($B24=Sheet1!H24,1,0)</f>
        <v>1</v>
      </c>
      <c r="I24" s="15">
        <f>if($B24=Sheet1!I24,1,0)</f>
        <v>0</v>
      </c>
      <c r="J24" s="15">
        <f>if($B24=Sheet1!J24,1,0)</f>
        <v>0</v>
      </c>
      <c r="K24" s="15">
        <f>if($B24=Sheet1!K24,1,0)</f>
        <v>0</v>
      </c>
      <c r="L24" s="15">
        <f>if($B24=Sheet1!L24,1,0)</f>
        <v>0</v>
      </c>
      <c r="M24" s="15">
        <f>if($B24=Sheet1!M24,1,0)</f>
        <v>1</v>
      </c>
      <c r="N24" s="15">
        <f>if($B24=Sheet1!N24,1,0)</f>
        <v>0</v>
      </c>
      <c r="O24" s="15">
        <f>if($B24=Sheet1!O24,1,0)</f>
        <v>0</v>
      </c>
      <c r="P24" s="15">
        <f>if($B24=Sheet1!P24,1,0)</f>
        <v>0</v>
      </c>
      <c r="Q24" s="15">
        <f>if($B24=Sheet1!Q24,1,0)</f>
        <v>0</v>
      </c>
      <c r="R24" s="15">
        <f>if($B24=Sheet1!R24,1,0)</f>
        <v>1</v>
      </c>
      <c r="S24" s="15">
        <f>if($B24=Sheet1!S24,1,0)</f>
        <v>0</v>
      </c>
      <c r="T24" s="15">
        <f>if($B24=Sheet1!T24,1,0)</f>
        <v>0</v>
      </c>
      <c r="U24" s="15">
        <f>if($B24=Sheet1!U24,1,0)</f>
        <v>1</v>
      </c>
      <c r="V24" s="15">
        <f>if($B24=Sheet1!V24,1,0)</f>
        <v>0</v>
      </c>
      <c r="W24" s="15">
        <f>if($B24=Sheet1!W24,1,0)</f>
        <v>0</v>
      </c>
      <c r="X24" s="15">
        <f>if($B24=Sheet1!X24,1,0)</f>
        <v>0</v>
      </c>
      <c r="Y24" s="15">
        <f>if($B24=Sheet1!Y24,1,0)</f>
        <v>0</v>
      </c>
      <c r="Z24" s="15">
        <f>if($B24=Sheet1!Z24,1,0)</f>
        <v>0</v>
      </c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</row>
    <row r="25">
      <c r="B25" s="14" t="str">
        <f>Sheet1!B25</f>
        <v>b</v>
      </c>
      <c r="C25" s="15">
        <f>if(B25=Sheet1!C25,1,0)</f>
        <v>0</v>
      </c>
      <c r="D25" s="15">
        <f>if($B25=Sheet1!D25,1,0)</f>
        <v>0</v>
      </c>
      <c r="E25" s="15">
        <f>if($B25=Sheet1!E25,1,0)</f>
        <v>0</v>
      </c>
      <c r="F25" s="15">
        <f>if($B25=Sheet1!F25,1,0)</f>
        <v>0</v>
      </c>
      <c r="G25" s="15">
        <f>if($B25=Sheet1!G25,1,0)</f>
        <v>0</v>
      </c>
      <c r="H25" s="15">
        <f>if($B25=Sheet1!H25,1,0)</f>
        <v>0</v>
      </c>
      <c r="I25" s="15">
        <f>if($B25=Sheet1!I25,1,0)</f>
        <v>1</v>
      </c>
      <c r="J25" s="15">
        <f>if($B25=Sheet1!J25,1,0)</f>
        <v>1</v>
      </c>
      <c r="K25" s="15">
        <f>if($B25=Sheet1!K25,1,0)</f>
        <v>1</v>
      </c>
      <c r="L25" s="15">
        <f>if($B25=Sheet1!L25,1,0)</f>
        <v>1</v>
      </c>
      <c r="M25" s="15">
        <f>if($B25=Sheet1!M25,1,0)</f>
        <v>1</v>
      </c>
      <c r="N25" s="15">
        <f>if($B25=Sheet1!N25,1,0)</f>
        <v>0</v>
      </c>
      <c r="O25" s="15">
        <f>if($B25=Sheet1!O25,1,0)</f>
        <v>1</v>
      </c>
      <c r="P25" s="15">
        <f>if($B25=Sheet1!P25,1,0)</f>
        <v>0</v>
      </c>
      <c r="Q25" s="15">
        <f>if($B25=Sheet1!Q25,1,0)</f>
        <v>1</v>
      </c>
      <c r="R25" s="15">
        <f>if($B25=Sheet1!R25,1,0)</f>
        <v>1</v>
      </c>
      <c r="S25" s="15">
        <f>if($B25=Sheet1!S25,1,0)</f>
        <v>1</v>
      </c>
      <c r="T25" s="15">
        <f>if($B25=Sheet1!T25,1,0)</f>
        <v>0</v>
      </c>
      <c r="U25" s="15">
        <f>if($B25=Sheet1!U25,1,0)</f>
        <v>0</v>
      </c>
      <c r="V25" s="15">
        <f>if($B25=Sheet1!V25,1,0)</f>
        <v>0</v>
      </c>
      <c r="W25" s="15">
        <f>if($B25=Sheet1!W25,1,0)</f>
        <v>1</v>
      </c>
      <c r="X25" s="15">
        <f>if($B25=Sheet1!X25,1,0)</f>
        <v>0</v>
      </c>
      <c r="Y25" s="15">
        <f>if($B25=Sheet1!Y25,1,0)</f>
        <v>0</v>
      </c>
      <c r="Z25" s="15">
        <f>if($B25=Sheet1!Z25,1,0)</f>
        <v>0</v>
      </c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</row>
    <row r="26">
      <c r="B26" s="14" t="str">
        <f>Sheet1!B26</f>
        <v>r</v>
      </c>
      <c r="C26" s="15">
        <f>if(B26=Sheet1!C26,1,0)</f>
        <v>1</v>
      </c>
      <c r="D26" s="15">
        <f>if($B26=Sheet1!D26,1,0)</f>
        <v>1</v>
      </c>
      <c r="E26" s="15">
        <f>if($B26=Sheet1!E26,1,0)</f>
        <v>1</v>
      </c>
      <c r="F26" s="15">
        <f>if($B26=Sheet1!F26,1,0)</f>
        <v>0</v>
      </c>
      <c r="G26" s="15">
        <f>if($B26=Sheet1!G26,1,0)</f>
        <v>0</v>
      </c>
      <c r="H26" s="15">
        <f>if($B26=Sheet1!H26,1,0)</f>
        <v>1</v>
      </c>
      <c r="I26" s="15">
        <f>if($B26=Sheet1!I26,1,0)</f>
        <v>1</v>
      </c>
      <c r="J26" s="15">
        <f>if($B26=Sheet1!J26,1,0)</f>
        <v>1</v>
      </c>
      <c r="K26" s="15">
        <f>if($B26=Sheet1!K26,1,0)</f>
        <v>1</v>
      </c>
      <c r="L26" s="15">
        <f>if($B26=Sheet1!L26,1,0)</f>
        <v>1</v>
      </c>
      <c r="M26" s="15">
        <f>if($B26=Sheet1!M26,1,0)</f>
        <v>1</v>
      </c>
      <c r="N26" s="15">
        <f>if($B26=Sheet1!N26,1,0)</f>
        <v>0</v>
      </c>
      <c r="O26" s="15">
        <f>if($B26=Sheet1!O26,1,0)</f>
        <v>1</v>
      </c>
      <c r="P26" s="15">
        <f>if($B26=Sheet1!P26,1,0)</f>
        <v>1</v>
      </c>
      <c r="Q26" s="15">
        <f>if($B26=Sheet1!Q26,1,0)</f>
        <v>1</v>
      </c>
      <c r="R26" s="15">
        <f>if($B26=Sheet1!R26,1,0)</f>
        <v>0</v>
      </c>
      <c r="S26" s="15">
        <f>if($B26=Sheet1!S26,1,0)</f>
        <v>1</v>
      </c>
      <c r="T26" s="15">
        <f>if($B26=Sheet1!T26,1,0)</f>
        <v>0</v>
      </c>
      <c r="U26" s="15">
        <f>if($B26=Sheet1!U26,1,0)</f>
        <v>1</v>
      </c>
      <c r="V26" s="15">
        <f>if($B26=Sheet1!V26,1,0)</f>
        <v>1</v>
      </c>
      <c r="W26" s="15">
        <f>if($B26=Sheet1!W26,1,0)</f>
        <v>0</v>
      </c>
      <c r="X26" s="15">
        <f>if($B26=Sheet1!X26,1,0)</f>
        <v>1</v>
      </c>
      <c r="Y26" s="15">
        <f>if($B26=Sheet1!Y26,1,0)</f>
        <v>0</v>
      </c>
      <c r="Z26" s="15">
        <f>if($B26=Sheet1!Z26,1,0)</f>
        <v>0</v>
      </c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</row>
    <row r="27">
      <c r="B27" s="14" t="str">
        <f>Sheet1!B27</f>
        <v>r</v>
      </c>
      <c r="C27" s="15">
        <f>if(B27=Sheet1!C27,1,0)</f>
        <v>1</v>
      </c>
      <c r="D27" s="15">
        <f>if($B27=Sheet1!D27,1,0)</f>
        <v>1</v>
      </c>
      <c r="E27" s="15">
        <f>if($B27=Sheet1!E27,1,0)</f>
        <v>1</v>
      </c>
      <c r="F27" s="15">
        <f>if($B27=Sheet1!F27,1,0)</f>
        <v>1</v>
      </c>
      <c r="G27" s="15">
        <f>if($B27=Sheet1!G27,1,0)</f>
        <v>0</v>
      </c>
      <c r="H27" s="15">
        <f>if($B27=Sheet1!H27,1,0)</f>
        <v>1</v>
      </c>
      <c r="I27" s="15">
        <f>if($B27=Sheet1!I27,1,0)</f>
        <v>0</v>
      </c>
      <c r="J27" s="15">
        <f>if($B27=Sheet1!J27,1,0)</f>
        <v>0</v>
      </c>
      <c r="K27" s="15">
        <f>if($B27=Sheet1!K27,1,0)</f>
        <v>0</v>
      </c>
      <c r="L27" s="15">
        <f>if($B27=Sheet1!L27,1,0)</f>
        <v>0</v>
      </c>
      <c r="M27" s="15">
        <f>if($B27=Sheet1!M27,1,0)</f>
        <v>1</v>
      </c>
      <c r="N27" s="15">
        <f>if($B27=Sheet1!N27,1,0)</f>
        <v>0</v>
      </c>
      <c r="O27" s="15">
        <f>if($B27=Sheet1!O27,1,0)</f>
        <v>1</v>
      </c>
      <c r="P27" s="15">
        <f>if($B27=Sheet1!P27,1,0)</f>
        <v>1</v>
      </c>
      <c r="Q27" s="15">
        <f>if($B27=Sheet1!Q27,1,0)</f>
        <v>1</v>
      </c>
      <c r="R27" s="15">
        <f>if($B27=Sheet1!R27,1,0)</f>
        <v>0</v>
      </c>
      <c r="S27" s="15">
        <f>if($B27=Sheet1!S27,1,0)</f>
        <v>0</v>
      </c>
      <c r="T27" s="15">
        <f>if($B27=Sheet1!T27,1,0)</f>
        <v>0</v>
      </c>
      <c r="U27" s="15">
        <f>if($B27=Sheet1!U27,1,0)</f>
        <v>0</v>
      </c>
      <c r="V27" s="15">
        <f>if($B27=Sheet1!V27,1,0)</f>
        <v>1</v>
      </c>
      <c r="W27" s="15">
        <f>if($B27=Sheet1!W27,1,0)</f>
        <v>0</v>
      </c>
      <c r="X27" s="15">
        <f>if($B27=Sheet1!X27,1,0)</f>
        <v>1</v>
      </c>
      <c r="Y27" s="15">
        <f>if($B27=Sheet1!Y27,1,0)</f>
        <v>0</v>
      </c>
      <c r="Z27" s="15">
        <f>if($B27=Sheet1!Z27,1,0)</f>
        <v>0</v>
      </c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</row>
    <row r="28">
      <c r="B28" s="14" t="str">
        <f>Sheet1!B28</f>
        <v>r</v>
      </c>
      <c r="C28" s="15">
        <f>if(B28=Sheet1!C28,1,0)</f>
        <v>1</v>
      </c>
      <c r="D28" s="15">
        <f>if($B28=Sheet1!D28,1,0)</f>
        <v>0</v>
      </c>
      <c r="E28" s="15">
        <f>if($B28=Sheet1!E28,1,0)</f>
        <v>1</v>
      </c>
      <c r="F28" s="15">
        <f>if($B28=Sheet1!F28,1,0)</f>
        <v>1</v>
      </c>
      <c r="G28" s="15">
        <f>if($B28=Sheet1!G28,1,0)</f>
        <v>0</v>
      </c>
      <c r="H28" s="15">
        <f>if($B28=Sheet1!H28,1,0)</f>
        <v>0</v>
      </c>
      <c r="I28" s="15">
        <f>if($B28=Sheet1!I28,1,0)</f>
        <v>1</v>
      </c>
      <c r="J28" s="15">
        <f>if($B28=Sheet1!J28,1,0)</f>
        <v>0</v>
      </c>
      <c r="K28" s="15">
        <f>if($B28=Sheet1!K28,1,0)</f>
        <v>1</v>
      </c>
      <c r="L28" s="15">
        <f>if($B28=Sheet1!L28,1,0)</f>
        <v>0</v>
      </c>
      <c r="M28" s="15">
        <f>if($B28=Sheet1!M28,1,0)</f>
        <v>1</v>
      </c>
      <c r="N28" s="15">
        <f>if($B28=Sheet1!N28,1,0)</f>
        <v>0</v>
      </c>
      <c r="O28" s="15">
        <f>if($B28=Sheet1!O28,1,0)</f>
        <v>1</v>
      </c>
      <c r="P28" s="15">
        <f>if($B28=Sheet1!P28,1,0)</f>
        <v>1</v>
      </c>
      <c r="Q28" s="15">
        <f>if($B28=Sheet1!Q28,1,0)</f>
        <v>1</v>
      </c>
      <c r="R28" s="15">
        <f>if($B28=Sheet1!R28,1,0)</f>
        <v>1</v>
      </c>
      <c r="S28" s="15">
        <f>if($B28=Sheet1!S28,1,0)</f>
        <v>1</v>
      </c>
      <c r="T28" s="15">
        <f>if($B28=Sheet1!T28,1,0)</f>
        <v>0</v>
      </c>
      <c r="U28" s="15">
        <f>if($B28=Sheet1!U28,1,0)</f>
        <v>1</v>
      </c>
      <c r="V28" s="15">
        <f>if($B28=Sheet1!V28,1,0)</f>
        <v>1</v>
      </c>
      <c r="W28" s="15">
        <f>if($B28=Sheet1!W28,1,0)</f>
        <v>1</v>
      </c>
      <c r="X28" s="15">
        <f>if($B28=Sheet1!X28,1,0)</f>
        <v>1</v>
      </c>
      <c r="Y28" s="15">
        <f>if($B28=Sheet1!Y28,1,0)</f>
        <v>0</v>
      </c>
      <c r="Z28" s="15">
        <f>if($B28=Sheet1!Z28,1,0)</f>
        <v>0</v>
      </c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</row>
    <row r="29">
      <c r="A29" s="16"/>
      <c r="B29" s="17" t="s">
        <v>119</v>
      </c>
      <c r="C29" s="16">
        <f t="shared" ref="C29:Z29" si="2">SUM(C19:C28)/10</f>
        <v>0.8</v>
      </c>
      <c r="D29" s="16">
        <f t="shared" si="2"/>
        <v>0.8</v>
      </c>
      <c r="E29" s="16">
        <f t="shared" si="2"/>
        <v>0.7</v>
      </c>
      <c r="F29" s="16">
        <f t="shared" si="2"/>
        <v>0.4</v>
      </c>
      <c r="G29" s="16">
        <f t="shared" si="2"/>
        <v>0</v>
      </c>
      <c r="H29" s="16">
        <f t="shared" si="2"/>
        <v>0.7</v>
      </c>
      <c r="I29" s="16">
        <f t="shared" si="2"/>
        <v>0.7</v>
      </c>
      <c r="J29" s="16">
        <f t="shared" si="2"/>
        <v>0.6</v>
      </c>
      <c r="K29" s="16">
        <f t="shared" si="2"/>
        <v>0.7</v>
      </c>
      <c r="L29" s="16">
        <f t="shared" si="2"/>
        <v>0.6</v>
      </c>
      <c r="M29" s="16">
        <f t="shared" si="2"/>
        <v>1</v>
      </c>
      <c r="N29" s="16">
        <f t="shared" si="2"/>
        <v>0</v>
      </c>
      <c r="O29" s="16">
        <f t="shared" si="2"/>
        <v>0.6</v>
      </c>
      <c r="P29" s="16">
        <f t="shared" si="2"/>
        <v>0.8</v>
      </c>
      <c r="Q29" s="16">
        <f t="shared" si="2"/>
        <v>0.8</v>
      </c>
      <c r="R29" s="16">
        <f t="shared" si="2"/>
        <v>0.6</v>
      </c>
      <c r="S29" s="16">
        <f t="shared" si="2"/>
        <v>0.8</v>
      </c>
      <c r="T29" s="16">
        <f t="shared" si="2"/>
        <v>0</v>
      </c>
      <c r="U29" s="16">
        <f t="shared" si="2"/>
        <v>0.7</v>
      </c>
      <c r="V29" s="16">
        <f t="shared" si="2"/>
        <v>0.8</v>
      </c>
      <c r="W29" s="16">
        <f t="shared" si="2"/>
        <v>0.7</v>
      </c>
      <c r="X29" s="16">
        <f t="shared" si="2"/>
        <v>0.7</v>
      </c>
      <c r="Y29" s="16">
        <f t="shared" si="2"/>
        <v>0</v>
      </c>
      <c r="Z29" s="16">
        <f t="shared" si="2"/>
        <v>0</v>
      </c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</row>
    <row r="30">
      <c r="A30" s="15" t="s">
        <v>120</v>
      </c>
      <c r="C30" s="14">
        <f>AVERAGEIF(C29:H29, "&lt;&gt;0", C29:H29)
</f>
        <v>0.68</v>
      </c>
      <c r="I30" s="14">
        <f>AVERAGEIF(I29:N29, "&lt;&gt;0", I29:N29)
</f>
        <v>0.72</v>
      </c>
      <c r="O30" s="14">
        <f>AVERAGEIF(O29:T29, "&lt;&gt;0", O29:T29)
</f>
        <v>0.72</v>
      </c>
      <c r="U30" s="14">
        <f>AVERAGEIF(U29:Z29, "&lt;&gt;0", U29:Z29)
</f>
        <v>0.725</v>
      </c>
    </row>
    <row r="31">
      <c r="C31" s="14">
        <f>sum(CORREL(C19:C28,D19:D28),CORREL(C19:C28,E19:E28),CORREL(C19:C28,F19:F28))/3</f>
        <v>0.5156703021</v>
      </c>
      <c r="D31" s="14">
        <f>sum(CORREL(D19:D28,C19:C28),CORREL(D19:D28,F19:F28),CORREL(D19:D28,E19:E28))/3</f>
        <v>0.1637186059</v>
      </c>
      <c r="E31" s="14">
        <f>sum(CORREL(E19:E28,F19:F28),CORREL(E19:E28,C19:C28),CORREL(E19:E28,D19:D28))/3</f>
        <v>0.5055009966</v>
      </c>
      <c r="F31" s="14">
        <f>sum(CORREL(F19:F28,C19:C28),CORREL(F19:F28,D19:D28),CORREL(F19:F28,E19:E28))/3</f>
        <v>0.2802362339</v>
      </c>
    </row>
    <row r="36">
      <c r="A36" s="1" t="s">
        <v>62</v>
      </c>
      <c r="B36" s="1" t="s">
        <v>63</v>
      </c>
      <c r="C36" s="1" t="s">
        <v>64</v>
      </c>
      <c r="D36" s="2"/>
      <c r="E36" s="2"/>
      <c r="F36" s="2"/>
      <c r="G36" s="2"/>
      <c r="H36" s="2"/>
      <c r="I36" s="1" t="s">
        <v>65</v>
      </c>
      <c r="J36" s="2"/>
      <c r="K36" s="2"/>
      <c r="L36" s="2"/>
      <c r="M36" s="2"/>
      <c r="N36" s="2"/>
      <c r="O36" s="1" t="s">
        <v>4</v>
      </c>
      <c r="P36" s="2"/>
      <c r="Q36" s="2"/>
      <c r="R36" s="2"/>
      <c r="S36" s="2"/>
      <c r="T36" s="2"/>
      <c r="U36" s="1" t="s">
        <v>5</v>
      </c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</row>
    <row r="37">
      <c r="A37" s="3" t="s">
        <v>6</v>
      </c>
      <c r="B37" s="3" t="s">
        <v>7</v>
      </c>
      <c r="C37" s="4" t="s">
        <v>66</v>
      </c>
      <c r="D37" s="4" t="s">
        <v>67</v>
      </c>
      <c r="E37" s="4" t="s">
        <v>68</v>
      </c>
      <c r="F37" s="4" t="s">
        <v>69</v>
      </c>
      <c r="G37" s="4" t="s">
        <v>70</v>
      </c>
      <c r="H37" s="4" t="s">
        <v>71</v>
      </c>
      <c r="I37" s="4" t="s">
        <v>72</v>
      </c>
      <c r="J37" s="4" t="s">
        <v>73</v>
      </c>
      <c r="K37" s="4" t="s">
        <v>74</v>
      </c>
      <c r="L37" s="4" t="s">
        <v>75</v>
      </c>
      <c r="M37" s="4" t="s">
        <v>76</v>
      </c>
      <c r="N37" s="4" t="s">
        <v>77</v>
      </c>
      <c r="O37" s="4" t="s">
        <v>78</v>
      </c>
      <c r="P37" s="4" t="s">
        <v>79</v>
      </c>
      <c r="Q37" s="4" t="s">
        <v>80</v>
      </c>
      <c r="R37" s="4" t="s">
        <v>81</v>
      </c>
      <c r="S37" s="4" t="s">
        <v>82</v>
      </c>
      <c r="T37" s="4" t="s">
        <v>83</v>
      </c>
      <c r="U37" s="4" t="s">
        <v>84</v>
      </c>
      <c r="V37" s="4" t="s">
        <v>85</v>
      </c>
      <c r="W37" s="4" t="s">
        <v>86</v>
      </c>
      <c r="X37" s="4" t="s">
        <v>87</v>
      </c>
      <c r="Y37" s="4" t="s">
        <v>88</v>
      </c>
      <c r="Z37" s="4" t="s">
        <v>89</v>
      </c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</row>
    <row r="38">
      <c r="B38" s="14" t="str">
        <f>Sheet1!B38</f>
        <v>b</v>
      </c>
      <c r="C38" s="15">
        <f>if($B38=Sheet1!C38,1,0)</f>
        <v>1</v>
      </c>
      <c r="D38" s="15">
        <f>if($B38=Sheet1!D38,1,0)</f>
        <v>1</v>
      </c>
      <c r="E38" s="15">
        <f>if($B38=Sheet1!E38,1,0)</f>
        <v>1</v>
      </c>
      <c r="F38" s="15">
        <f>if($B38=Sheet1!F38,1,0)</f>
        <v>1</v>
      </c>
      <c r="G38" s="15">
        <f>if($B38=Sheet1!G38,1,0)</f>
        <v>0</v>
      </c>
      <c r="H38" s="15">
        <f>if($B38=Sheet1!H38,1,0)</f>
        <v>0</v>
      </c>
      <c r="I38" s="15">
        <f>if($B38=Sheet1!I38,1,0)</f>
        <v>1</v>
      </c>
      <c r="J38" s="15">
        <f>if($B38=Sheet1!J38,1,0)</f>
        <v>1</v>
      </c>
      <c r="K38" s="15">
        <f>if($B38=Sheet1!K38,1,0)</f>
        <v>1</v>
      </c>
      <c r="L38" s="15">
        <f>if($B38=Sheet1!L38,1,0)</f>
        <v>0</v>
      </c>
      <c r="M38" s="15">
        <f>if($B38=Sheet1!M38,1,0)</f>
        <v>0</v>
      </c>
      <c r="N38" s="15">
        <f>if($B38=Sheet1!N38,1,0)</f>
        <v>0</v>
      </c>
      <c r="O38" s="15">
        <f>if($B38=Sheet1!O38,1,0)</f>
        <v>0</v>
      </c>
      <c r="P38" s="15">
        <f>if($B38=Sheet1!P38,1,0)</f>
        <v>1</v>
      </c>
      <c r="Q38" s="15">
        <f>if($B38=Sheet1!Q38,1,0)</f>
        <v>1</v>
      </c>
      <c r="R38" s="15">
        <f>if($B38=Sheet1!R38,1,0)</f>
        <v>0</v>
      </c>
      <c r="S38" s="15">
        <f>if($B38=Sheet1!S38,1,0)</f>
        <v>1</v>
      </c>
      <c r="T38" s="15">
        <f>if($B38=Sheet1!T38,1,0)</f>
        <v>0</v>
      </c>
      <c r="U38" s="15">
        <f>if($B38=Sheet1!U38,1,0)</f>
        <v>1</v>
      </c>
      <c r="V38" s="15">
        <f>if($B38=Sheet1!V38,1,0)</f>
        <v>1</v>
      </c>
      <c r="W38" s="15">
        <f>if($B38=Sheet1!W38,1,0)</f>
        <v>1</v>
      </c>
      <c r="X38" s="15">
        <f>if($B38=Sheet1!X38,1,0)</f>
        <v>1</v>
      </c>
      <c r="Y38" s="15">
        <f>if($B38=Sheet1!Y38,1,0)</f>
        <v>0</v>
      </c>
      <c r="Z38" s="15">
        <f>if($B38=Sheet1!Z38,1,0)</f>
        <v>1</v>
      </c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</row>
    <row r="39">
      <c r="B39" s="14" t="str">
        <f>Sheet1!B39</f>
        <v>r</v>
      </c>
      <c r="C39" s="15">
        <f>if(B39=Sheet1!C39,1,0)</f>
        <v>1</v>
      </c>
      <c r="D39" s="15">
        <f>if($B39=Sheet1!D39,1,0)</f>
        <v>0</v>
      </c>
      <c r="E39" s="15">
        <f>if($B39=Sheet1!E39,1,0)</f>
        <v>0</v>
      </c>
      <c r="F39" s="15">
        <f>if($B39=Sheet1!F39,1,0)</f>
        <v>0</v>
      </c>
      <c r="G39" s="15">
        <f>if($B39=Sheet1!G39,1,0)</f>
        <v>0</v>
      </c>
      <c r="H39" s="15">
        <f>if($B39=Sheet1!H39,1,0)</f>
        <v>0</v>
      </c>
      <c r="I39" s="15">
        <f>if($B39=Sheet1!I39,1,0)</f>
        <v>1</v>
      </c>
      <c r="J39" s="15">
        <f>if($B39=Sheet1!J39,1,0)</f>
        <v>1</v>
      </c>
      <c r="K39" s="15">
        <f>if($B39=Sheet1!K39,1,0)</f>
        <v>1</v>
      </c>
      <c r="L39" s="15">
        <f>if($B39=Sheet1!L39,1,0)</f>
        <v>1</v>
      </c>
      <c r="M39" s="15">
        <f>if($B39=Sheet1!M39,1,0)</f>
        <v>1</v>
      </c>
      <c r="N39" s="15">
        <f>if($B39=Sheet1!N39,1,0)</f>
        <v>0</v>
      </c>
      <c r="O39" s="15">
        <f>if($B39=Sheet1!O39,1,0)</f>
        <v>1</v>
      </c>
      <c r="P39" s="15">
        <f>if($B39=Sheet1!P39,1,0)</f>
        <v>1</v>
      </c>
      <c r="Q39" s="15">
        <f>if($B39=Sheet1!Q39,1,0)</f>
        <v>1</v>
      </c>
      <c r="R39" s="15">
        <f>if($B39=Sheet1!R39,1,0)</f>
        <v>0</v>
      </c>
      <c r="S39" s="15">
        <f>if($B39=Sheet1!S39,1,0)</f>
        <v>1</v>
      </c>
      <c r="T39" s="15">
        <f>if($B39=Sheet1!T39,1,0)</f>
        <v>0</v>
      </c>
      <c r="U39" s="15">
        <f>if($B39=Sheet1!U39,1,0)</f>
        <v>0</v>
      </c>
      <c r="V39" s="15">
        <f>if($B39=Sheet1!V39,1,0)</f>
        <v>0</v>
      </c>
      <c r="W39" s="15">
        <f>if($B39=Sheet1!W39,1,0)</f>
        <v>1</v>
      </c>
      <c r="X39" s="15">
        <f>if($B39=Sheet1!X39,1,0)</f>
        <v>0</v>
      </c>
      <c r="Y39" s="15">
        <f>if($B39=Sheet1!Y39,1,0)</f>
        <v>0</v>
      </c>
      <c r="Z39" s="15">
        <f>if($B39=Sheet1!Z39,1,0)</f>
        <v>0</v>
      </c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</row>
    <row r="40">
      <c r="B40" s="14" t="str">
        <f>Sheet1!B40</f>
        <v>r</v>
      </c>
      <c r="C40" s="15">
        <f>if(B40=Sheet1!C40,1,0)</f>
        <v>1</v>
      </c>
      <c r="D40" s="15">
        <f>if($B40=Sheet1!D40,1,0)</f>
        <v>0</v>
      </c>
      <c r="E40" s="15">
        <f>if($B40=Sheet1!E40,1,0)</f>
        <v>0</v>
      </c>
      <c r="F40" s="15">
        <f>if($B40=Sheet1!F40,1,0)</f>
        <v>1</v>
      </c>
      <c r="G40" s="15">
        <f>if($B40=Sheet1!G40,1,0)</f>
        <v>0</v>
      </c>
      <c r="H40" s="15">
        <f>if($B40=Sheet1!H40,1,0)</f>
        <v>0</v>
      </c>
      <c r="I40" s="15">
        <f>if($B40=Sheet1!I40,1,0)</f>
        <v>1</v>
      </c>
      <c r="J40" s="15">
        <f>if($B40=Sheet1!J40,1,0)</f>
        <v>1</v>
      </c>
      <c r="K40" s="15">
        <f>if($B40=Sheet1!K40,1,0)</f>
        <v>0</v>
      </c>
      <c r="L40" s="15">
        <f>if($B40=Sheet1!L40,1,0)</f>
        <v>0</v>
      </c>
      <c r="M40" s="15">
        <f>if($B40=Sheet1!M40,1,0)</f>
        <v>1</v>
      </c>
      <c r="N40" s="15">
        <f>if($B40=Sheet1!N40,1,0)</f>
        <v>0</v>
      </c>
      <c r="O40" s="15">
        <f>if($B40=Sheet1!O40,1,0)</f>
        <v>0</v>
      </c>
      <c r="P40" s="15">
        <f>if($B40=Sheet1!P40,1,0)</f>
        <v>1</v>
      </c>
      <c r="Q40" s="15">
        <f>if($B40=Sheet1!Q40,1,0)</f>
        <v>1</v>
      </c>
      <c r="R40" s="15">
        <f>if($B40=Sheet1!R40,1,0)</f>
        <v>1</v>
      </c>
      <c r="S40" s="15">
        <f>if($B40=Sheet1!S40,1,0)</f>
        <v>1</v>
      </c>
      <c r="T40" s="15">
        <f>if($B40=Sheet1!T40,1,0)</f>
        <v>0</v>
      </c>
      <c r="U40" s="15">
        <f>if($B40=Sheet1!U40,1,0)</f>
        <v>1</v>
      </c>
      <c r="V40" s="15">
        <f>if($B40=Sheet1!V40,1,0)</f>
        <v>1</v>
      </c>
      <c r="W40" s="15">
        <f>if($B40=Sheet1!W40,1,0)</f>
        <v>1</v>
      </c>
      <c r="X40" s="15">
        <f>if($B40=Sheet1!X40,1,0)</f>
        <v>1</v>
      </c>
      <c r="Y40" s="15">
        <f>if($B40=Sheet1!Y40,1,0)</f>
        <v>0</v>
      </c>
      <c r="Z40" s="15">
        <f>if($B40=Sheet1!Z40,1,0)</f>
        <v>1</v>
      </c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</row>
    <row r="41">
      <c r="B41" s="14" t="str">
        <f>Sheet1!B41</f>
        <v>b</v>
      </c>
      <c r="C41" s="15">
        <f>if(B41=Sheet1!C41,1,0)</f>
        <v>0</v>
      </c>
      <c r="D41" s="15">
        <f>if($B41=Sheet1!D41,1,0)</f>
        <v>1</v>
      </c>
      <c r="E41" s="15">
        <f>if($B41=Sheet1!E41,1,0)</f>
        <v>1</v>
      </c>
      <c r="F41" s="15">
        <f>if($B41=Sheet1!F41,1,0)</f>
        <v>1</v>
      </c>
      <c r="G41" s="15">
        <f>if($B41=Sheet1!G41,1,0)</f>
        <v>0</v>
      </c>
      <c r="H41" s="15">
        <f>if($B41=Sheet1!H41,1,0)</f>
        <v>0</v>
      </c>
      <c r="I41" s="15">
        <f>if($B41=Sheet1!I41,1,0)</f>
        <v>1</v>
      </c>
      <c r="J41" s="15">
        <f>if($B41=Sheet1!J41,1,0)</f>
        <v>1</v>
      </c>
      <c r="K41" s="15">
        <f>if($B41=Sheet1!K41,1,0)</f>
        <v>1</v>
      </c>
      <c r="L41" s="15">
        <f>if($B41=Sheet1!L41,1,0)</f>
        <v>1</v>
      </c>
      <c r="M41" s="15">
        <f>if($B41=Sheet1!M41,1,0)</f>
        <v>1</v>
      </c>
      <c r="N41" s="15">
        <f>if($B41=Sheet1!N41,1,0)</f>
        <v>0</v>
      </c>
      <c r="O41" s="15">
        <f>if($B41=Sheet1!O41,1,0)</f>
        <v>1</v>
      </c>
      <c r="P41" s="15">
        <f>if($B41=Sheet1!P41,1,0)</f>
        <v>1</v>
      </c>
      <c r="Q41" s="15">
        <f>if($B41=Sheet1!Q41,1,0)</f>
        <v>1</v>
      </c>
      <c r="R41" s="15">
        <f>if($B41=Sheet1!R41,1,0)</f>
        <v>0</v>
      </c>
      <c r="S41" s="15">
        <f>if($B41=Sheet1!S41,1,0)</f>
        <v>1</v>
      </c>
      <c r="T41" s="15">
        <f>if($B41=Sheet1!T41,1,0)</f>
        <v>0</v>
      </c>
      <c r="U41" s="15">
        <f>if($B41=Sheet1!U41,1,0)</f>
        <v>1</v>
      </c>
      <c r="V41" s="15">
        <f>if($B41=Sheet1!V41,1,0)</f>
        <v>1</v>
      </c>
      <c r="W41" s="15">
        <f>if($B41=Sheet1!W41,1,0)</f>
        <v>1</v>
      </c>
      <c r="X41" s="15">
        <f>if($B41=Sheet1!X41,1,0)</f>
        <v>1</v>
      </c>
      <c r="Y41" s="15">
        <f>if($B41=Sheet1!Y41,1,0)</f>
        <v>0</v>
      </c>
      <c r="Z41" s="15">
        <f>if($B41=Sheet1!Z41,1,0)</f>
        <v>1</v>
      </c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</row>
    <row r="42">
      <c r="B42" s="14" t="str">
        <f>Sheet1!B42</f>
        <v>b</v>
      </c>
      <c r="C42" s="15">
        <f>if(B42=Sheet1!C42,1,0)</f>
        <v>1</v>
      </c>
      <c r="D42" s="15">
        <f>if($B42=Sheet1!D42,1,0)</f>
        <v>1</v>
      </c>
      <c r="E42" s="15">
        <f>if($B42=Sheet1!E42,1,0)</f>
        <v>1</v>
      </c>
      <c r="F42" s="15">
        <f>if($B42=Sheet1!F42,1,0)</f>
        <v>0</v>
      </c>
      <c r="G42" s="15">
        <f>if($B42=Sheet1!G42,1,0)</f>
        <v>0</v>
      </c>
      <c r="H42" s="15">
        <f>if($B42=Sheet1!H42,1,0)</f>
        <v>0</v>
      </c>
      <c r="I42" s="15">
        <f>if($B42=Sheet1!I42,1,0)</f>
        <v>1</v>
      </c>
      <c r="J42" s="15">
        <f>if($B42=Sheet1!J42,1,0)</f>
        <v>1</v>
      </c>
      <c r="K42" s="15">
        <f>if($B42=Sheet1!K42,1,0)</f>
        <v>0</v>
      </c>
      <c r="L42" s="15">
        <f>if($B42=Sheet1!L42,1,0)</f>
        <v>1</v>
      </c>
      <c r="M42" s="15">
        <f>if($B42=Sheet1!M42,1,0)</f>
        <v>1</v>
      </c>
      <c r="N42" s="15">
        <f>if($B42=Sheet1!N42,1,0)</f>
        <v>0</v>
      </c>
      <c r="O42" s="15">
        <f>if($B42=Sheet1!O42,1,0)</f>
        <v>1</v>
      </c>
      <c r="P42" s="15">
        <f>if($B42=Sheet1!P42,1,0)</f>
        <v>1</v>
      </c>
      <c r="Q42" s="15">
        <f>if($B42=Sheet1!Q42,1,0)</f>
        <v>1</v>
      </c>
      <c r="R42" s="15">
        <f>if($B42=Sheet1!R42,1,0)</f>
        <v>0</v>
      </c>
      <c r="S42" s="15">
        <f>if($B42=Sheet1!S42,1,0)</f>
        <v>1</v>
      </c>
      <c r="T42" s="15">
        <f>if($B42=Sheet1!T42,1,0)</f>
        <v>0</v>
      </c>
      <c r="U42" s="15">
        <f>if($B42=Sheet1!U42,1,0)</f>
        <v>1</v>
      </c>
      <c r="V42" s="15">
        <f>if($B42=Sheet1!V42,1,0)</f>
        <v>1</v>
      </c>
      <c r="W42" s="15">
        <f>if($B42=Sheet1!W42,1,0)</f>
        <v>1</v>
      </c>
      <c r="X42" s="15">
        <f>if($B42=Sheet1!X42,1,0)</f>
        <v>1</v>
      </c>
      <c r="Y42" s="15">
        <f>if($B42=Sheet1!Y42,1,0)</f>
        <v>0</v>
      </c>
      <c r="Z42" s="15">
        <f>if($B42=Sheet1!Z42,1,0)</f>
        <v>1</v>
      </c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</row>
    <row r="43">
      <c r="B43" s="14" t="str">
        <f>Sheet1!B43</f>
        <v>b</v>
      </c>
      <c r="C43" s="15">
        <f>if(B43=Sheet1!C43,1,0)</f>
        <v>1</v>
      </c>
      <c r="D43" s="15">
        <f>if($B43=Sheet1!D43,1,0)</f>
        <v>1</v>
      </c>
      <c r="E43" s="15">
        <f>if($B43=Sheet1!E43,1,0)</f>
        <v>1</v>
      </c>
      <c r="F43" s="15">
        <f>if($B43=Sheet1!F43,1,0)</f>
        <v>1</v>
      </c>
      <c r="G43" s="15">
        <f>if($B43=Sheet1!G43,1,0)</f>
        <v>0</v>
      </c>
      <c r="H43" s="15">
        <f>if($B43=Sheet1!H43,1,0)</f>
        <v>0</v>
      </c>
      <c r="I43" s="15">
        <f>if($B43=Sheet1!I43,1,0)</f>
        <v>1</v>
      </c>
      <c r="J43" s="15">
        <f>if($B43=Sheet1!J43,1,0)</f>
        <v>1</v>
      </c>
      <c r="K43" s="15">
        <f>if($B43=Sheet1!K43,1,0)</f>
        <v>0</v>
      </c>
      <c r="L43" s="15">
        <f>if($B43=Sheet1!L43,1,0)</f>
        <v>1</v>
      </c>
      <c r="M43" s="15">
        <f>if($B43=Sheet1!M43,1,0)</f>
        <v>0</v>
      </c>
      <c r="N43" s="15">
        <f>if($B43=Sheet1!N43,1,0)</f>
        <v>0</v>
      </c>
      <c r="O43" s="15">
        <f>if($B43=Sheet1!O43,1,0)</f>
        <v>1</v>
      </c>
      <c r="P43" s="15">
        <f>if($B43=Sheet1!P43,1,0)</f>
        <v>0</v>
      </c>
      <c r="Q43" s="15">
        <f>if($B43=Sheet1!Q43,1,0)</f>
        <v>1</v>
      </c>
      <c r="R43" s="15">
        <f>if($B43=Sheet1!R43,1,0)</f>
        <v>1</v>
      </c>
      <c r="S43" s="15">
        <f>if($B43=Sheet1!S43,1,0)</f>
        <v>0</v>
      </c>
      <c r="T43" s="15">
        <f>if($B43=Sheet1!T43,1,0)</f>
        <v>0</v>
      </c>
      <c r="U43" s="15">
        <f>if($B43=Sheet1!U43,1,0)</f>
        <v>0</v>
      </c>
      <c r="V43" s="15">
        <f>if($B43=Sheet1!V43,1,0)</f>
        <v>0</v>
      </c>
      <c r="W43" s="15">
        <f>if($B43=Sheet1!W43,1,0)</f>
        <v>0</v>
      </c>
      <c r="X43" s="15">
        <f>if($B43=Sheet1!X43,1,0)</f>
        <v>1</v>
      </c>
      <c r="Y43" s="15">
        <f>if($B43=Sheet1!Y43,1,0)</f>
        <v>0</v>
      </c>
      <c r="Z43" s="15">
        <f>if($B43=Sheet1!Z43,1,0)</f>
        <v>0</v>
      </c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</row>
    <row r="44">
      <c r="B44" s="14" t="str">
        <f>Sheet1!B44</f>
        <v>b</v>
      </c>
      <c r="C44" s="15">
        <f>if(B44=Sheet1!C44,1,0)</f>
        <v>1</v>
      </c>
      <c r="D44" s="15">
        <f>if($B44=Sheet1!D44,1,0)</f>
        <v>1</v>
      </c>
      <c r="E44" s="15">
        <f>if($B44=Sheet1!E44,1,0)</f>
        <v>1</v>
      </c>
      <c r="F44" s="15">
        <f>if($B44=Sheet1!F44,1,0)</f>
        <v>1</v>
      </c>
      <c r="G44" s="15">
        <f>if($B44=Sheet1!G44,1,0)</f>
        <v>0</v>
      </c>
      <c r="H44" s="15">
        <f>if($B44=Sheet1!H44,1,0)</f>
        <v>0</v>
      </c>
      <c r="I44" s="15">
        <f>if($B44=Sheet1!I44,1,0)</f>
        <v>0</v>
      </c>
      <c r="J44" s="15">
        <f>if($B44=Sheet1!J44,1,0)</f>
        <v>1</v>
      </c>
      <c r="K44" s="15">
        <f>if($B44=Sheet1!K44,1,0)</f>
        <v>1</v>
      </c>
      <c r="L44" s="15">
        <f>if($B44=Sheet1!L44,1,0)</f>
        <v>1</v>
      </c>
      <c r="M44" s="15">
        <f>if($B44=Sheet1!M44,1,0)</f>
        <v>1</v>
      </c>
      <c r="N44" s="15">
        <f>if($B44=Sheet1!N44,1,0)</f>
        <v>0</v>
      </c>
      <c r="O44" s="15">
        <f>if($B44=Sheet1!O44,1,0)</f>
        <v>1</v>
      </c>
      <c r="P44" s="15">
        <f>if($B44=Sheet1!P44,1,0)</f>
        <v>1</v>
      </c>
      <c r="Q44" s="15">
        <f>if($B44=Sheet1!Q44,1,0)</f>
        <v>1</v>
      </c>
      <c r="R44" s="15">
        <f>if($B44=Sheet1!R44,1,0)</f>
        <v>1</v>
      </c>
      <c r="S44" s="15">
        <f>if($B44=Sheet1!S44,1,0)</f>
        <v>1</v>
      </c>
      <c r="T44" s="15">
        <f>if($B44=Sheet1!T44,1,0)</f>
        <v>0</v>
      </c>
      <c r="U44" s="15">
        <f>if($B44=Sheet1!U44,1,0)</f>
        <v>1</v>
      </c>
      <c r="V44" s="15">
        <f>if($B44=Sheet1!V44,1,0)</f>
        <v>1</v>
      </c>
      <c r="W44" s="15">
        <f>if($B44=Sheet1!W44,1,0)</f>
        <v>1</v>
      </c>
      <c r="X44" s="15">
        <f>if($B44=Sheet1!X44,1,0)</f>
        <v>1</v>
      </c>
      <c r="Y44" s="15">
        <f>if($B44=Sheet1!Y44,1,0)</f>
        <v>0</v>
      </c>
      <c r="Z44" s="15">
        <f>if($B44=Sheet1!Z44,1,0)</f>
        <v>0</v>
      </c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</row>
    <row r="45">
      <c r="B45" s="14" t="str">
        <f>Sheet1!B45</f>
        <v>r</v>
      </c>
      <c r="C45" s="15">
        <f>if(B45=Sheet1!C45,1,0)</f>
        <v>0</v>
      </c>
      <c r="D45" s="15">
        <f>if($B45=Sheet1!D45,1,0)</f>
        <v>0</v>
      </c>
      <c r="E45" s="15">
        <f>if($B45=Sheet1!E45,1,0)</f>
        <v>1</v>
      </c>
      <c r="F45" s="15">
        <f>if($B45=Sheet1!F45,1,0)</f>
        <v>0</v>
      </c>
      <c r="G45" s="15">
        <f>if($B45=Sheet1!G45,1,0)</f>
        <v>0</v>
      </c>
      <c r="H45" s="15">
        <f>if($B45=Sheet1!H45,1,0)</f>
        <v>0</v>
      </c>
      <c r="I45" s="15">
        <f>if($B45=Sheet1!I45,1,0)</f>
        <v>0</v>
      </c>
      <c r="J45" s="15">
        <f>if($B45=Sheet1!J45,1,0)</f>
        <v>0</v>
      </c>
      <c r="K45" s="15">
        <f>if($B45=Sheet1!K45,1,0)</f>
        <v>1</v>
      </c>
      <c r="L45" s="15">
        <f>if($B45=Sheet1!L45,1,0)</f>
        <v>0</v>
      </c>
      <c r="M45" s="15">
        <f>if($B45=Sheet1!M45,1,0)</f>
        <v>0</v>
      </c>
      <c r="N45" s="15">
        <f>if($B45=Sheet1!N45,1,0)</f>
        <v>0</v>
      </c>
      <c r="O45" s="15">
        <f>if($B45=Sheet1!O45,1,0)</f>
        <v>0</v>
      </c>
      <c r="P45" s="15">
        <f>if($B45=Sheet1!P45,1,0)</f>
        <v>1</v>
      </c>
      <c r="Q45" s="15">
        <f>if($B45=Sheet1!Q45,1,0)</f>
        <v>1</v>
      </c>
      <c r="R45" s="15">
        <f>if($B45=Sheet1!R45,1,0)</f>
        <v>1</v>
      </c>
      <c r="S45" s="15">
        <f>if($B45=Sheet1!S45,1,0)</f>
        <v>0</v>
      </c>
      <c r="T45" s="15">
        <f>if($B45=Sheet1!T45,1,0)</f>
        <v>0</v>
      </c>
      <c r="U45" s="15">
        <f>if($B45=Sheet1!U45,1,0)</f>
        <v>1</v>
      </c>
      <c r="V45" s="15">
        <f>if($B45=Sheet1!V45,1,0)</f>
        <v>0</v>
      </c>
      <c r="W45" s="15">
        <f>if($B45=Sheet1!W45,1,0)</f>
        <v>1</v>
      </c>
      <c r="X45" s="15">
        <f>if($B45=Sheet1!X45,1,0)</f>
        <v>1</v>
      </c>
      <c r="Y45" s="15">
        <f>if($B45=Sheet1!Y45,1,0)</f>
        <v>0</v>
      </c>
      <c r="Z45" s="15">
        <f>if($B45=Sheet1!Z45,1,0)</f>
        <v>1</v>
      </c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</row>
    <row r="46">
      <c r="B46" s="14" t="str">
        <f>Sheet1!B46</f>
        <v>r</v>
      </c>
      <c r="C46" s="15">
        <f>if(B46=Sheet1!C46,1,0)</f>
        <v>0</v>
      </c>
      <c r="D46" s="15">
        <f>if($B46=Sheet1!D46,1,0)</f>
        <v>1</v>
      </c>
      <c r="E46" s="15">
        <f>if($B46=Sheet1!E46,1,0)</f>
        <v>1</v>
      </c>
      <c r="F46" s="15">
        <f>if($B46=Sheet1!F46,1,0)</f>
        <v>1</v>
      </c>
      <c r="G46" s="15">
        <f>if($B46=Sheet1!G46,1,0)</f>
        <v>0</v>
      </c>
      <c r="H46" s="15">
        <f>if($B46=Sheet1!H46,1,0)</f>
        <v>0</v>
      </c>
      <c r="I46" s="15">
        <f>if($B46=Sheet1!I46,1,0)</f>
        <v>1</v>
      </c>
      <c r="J46" s="15">
        <f>if($B46=Sheet1!J46,1,0)</f>
        <v>1</v>
      </c>
      <c r="K46" s="15">
        <f>if($B46=Sheet1!K46,1,0)</f>
        <v>0</v>
      </c>
      <c r="L46" s="15">
        <f>if($B46=Sheet1!L46,1,0)</f>
        <v>0</v>
      </c>
      <c r="M46" s="15">
        <f>if($B46=Sheet1!M46,1,0)</f>
        <v>1</v>
      </c>
      <c r="N46" s="15">
        <f>if($B46=Sheet1!N46,1,0)</f>
        <v>0</v>
      </c>
      <c r="O46" s="15">
        <f>if($B46=Sheet1!O46,1,0)</f>
        <v>1</v>
      </c>
      <c r="P46" s="15">
        <f>if($B46=Sheet1!P46,1,0)</f>
        <v>1</v>
      </c>
      <c r="Q46" s="15">
        <f>if($B46=Sheet1!Q46,1,0)</f>
        <v>1</v>
      </c>
      <c r="R46" s="15">
        <f>if($B46=Sheet1!R46,1,0)</f>
        <v>0</v>
      </c>
      <c r="S46" s="15">
        <f>if($B46=Sheet1!S46,1,0)</f>
        <v>0</v>
      </c>
      <c r="T46" s="15">
        <f>if($B46=Sheet1!T46,1,0)</f>
        <v>0</v>
      </c>
      <c r="U46" s="15">
        <f>if($B46=Sheet1!U46,1,0)</f>
        <v>1</v>
      </c>
      <c r="V46" s="15">
        <f>if($B46=Sheet1!V46,1,0)</f>
        <v>1</v>
      </c>
      <c r="W46" s="15">
        <f>if($B46=Sheet1!W46,1,0)</f>
        <v>1</v>
      </c>
      <c r="X46" s="15">
        <f>if($B46=Sheet1!X46,1,0)</f>
        <v>1</v>
      </c>
      <c r="Y46" s="15">
        <f>if($B46=Sheet1!Y46,1,0)</f>
        <v>0</v>
      </c>
      <c r="Z46" s="15">
        <f>if($B46=Sheet1!Z46,1,0)</f>
        <v>0</v>
      </c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</row>
    <row r="47">
      <c r="B47" s="14" t="str">
        <f>Sheet1!B47</f>
        <v>r</v>
      </c>
      <c r="C47" s="15">
        <f>if(B47=Sheet1!C47,1,0)</f>
        <v>1</v>
      </c>
      <c r="D47" s="15">
        <f>if($B47=Sheet1!D47,1,0)</f>
        <v>0</v>
      </c>
      <c r="E47" s="15">
        <f>if($B47=Sheet1!E47,1,0)</f>
        <v>0</v>
      </c>
      <c r="F47" s="15">
        <f>if($B47=Sheet1!F47,1,0)</f>
        <v>1</v>
      </c>
      <c r="G47" s="15">
        <f>if($B47=Sheet1!G47,1,0)</f>
        <v>0</v>
      </c>
      <c r="H47" s="15">
        <f>if($B47=Sheet1!H47,1,0)</f>
        <v>0</v>
      </c>
      <c r="I47" s="15">
        <f>if($B47=Sheet1!I47,1,0)</f>
        <v>1</v>
      </c>
      <c r="J47" s="15">
        <f>if($B47=Sheet1!J47,1,0)</f>
        <v>1</v>
      </c>
      <c r="K47" s="15">
        <f>if($B47=Sheet1!K47,1,0)</f>
        <v>1</v>
      </c>
      <c r="L47" s="15">
        <f>if($B47=Sheet1!L47,1,0)</f>
        <v>1</v>
      </c>
      <c r="M47" s="15">
        <f>if($B47=Sheet1!M47,1,0)</f>
        <v>1</v>
      </c>
      <c r="N47" s="15">
        <f>if($B47=Sheet1!N47,1,0)</f>
        <v>0</v>
      </c>
      <c r="O47" s="15">
        <f>if($B47=Sheet1!O47,1,0)</f>
        <v>1</v>
      </c>
      <c r="P47" s="15">
        <f>if($B47=Sheet1!P47,1,0)</f>
        <v>1</v>
      </c>
      <c r="Q47" s="15">
        <f>if($B47=Sheet1!Q47,1,0)</f>
        <v>1</v>
      </c>
      <c r="R47" s="15">
        <f>if($B47=Sheet1!R47,1,0)</f>
        <v>1</v>
      </c>
      <c r="S47" s="15">
        <f>if($B47=Sheet1!S47,1,0)</f>
        <v>1</v>
      </c>
      <c r="T47" s="15">
        <f>if($B47=Sheet1!T47,1,0)</f>
        <v>0</v>
      </c>
      <c r="U47" s="15">
        <f>if($B47=Sheet1!U47,1,0)</f>
        <v>1</v>
      </c>
      <c r="V47" s="15">
        <f>if($B47=Sheet1!V47,1,0)</f>
        <v>1</v>
      </c>
      <c r="W47" s="15">
        <f>if($B47=Sheet1!W47,1,0)</f>
        <v>1</v>
      </c>
      <c r="X47" s="15">
        <f>if($B47=Sheet1!X47,1,0)</f>
        <v>1</v>
      </c>
      <c r="Y47" s="15">
        <f>if($B47=Sheet1!Y47,1,0)</f>
        <v>0</v>
      </c>
      <c r="Z47" s="15">
        <f>if($B47=Sheet1!Z47,1,0)</f>
        <v>1</v>
      </c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</row>
    <row r="48">
      <c r="A48" s="16"/>
      <c r="B48" s="17" t="s">
        <v>119</v>
      </c>
      <c r="C48" s="16">
        <f t="shared" ref="C48:Z48" si="3">SUM(C38:C47)/10</f>
        <v>0.7</v>
      </c>
      <c r="D48" s="16">
        <f t="shared" si="3"/>
        <v>0.6</v>
      </c>
      <c r="E48" s="16">
        <f t="shared" si="3"/>
        <v>0.7</v>
      </c>
      <c r="F48" s="16">
        <f t="shared" si="3"/>
        <v>0.7</v>
      </c>
      <c r="G48" s="16">
        <f t="shared" si="3"/>
        <v>0</v>
      </c>
      <c r="H48" s="16">
        <f t="shared" si="3"/>
        <v>0</v>
      </c>
      <c r="I48" s="16">
        <f t="shared" si="3"/>
        <v>0.8</v>
      </c>
      <c r="J48" s="16">
        <f t="shared" si="3"/>
        <v>0.9</v>
      </c>
      <c r="K48" s="16">
        <f t="shared" si="3"/>
        <v>0.6</v>
      </c>
      <c r="L48" s="16">
        <f t="shared" si="3"/>
        <v>0.6</v>
      </c>
      <c r="M48" s="16">
        <f t="shared" si="3"/>
        <v>0.7</v>
      </c>
      <c r="N48" s="16">
        <f t="shared" si="3"/>
        <v>0</v>
      </c>
      <c r="O48" s="16">
        <f t="shared" si="3"/>
        <v>0.7</v>
      </c>
      <c r="P48" s="16">
        <f t="shared" si="3"/>
        <v>0.9</v>
      </c>
      <c r="Q48" s="16">
        <f t="shared" si="3"/>
        <v>1</v>
      </c>
      <c r="R48" s="16">
        <f t="shared" si="3"/>
        <v>0.5</v>
      </c>
      <c r="S48" s="16">
        <f t="shared" si="3"/>
        <v>0.7</v>
      </c>
      <c r="T48" s="16">
        <f t="shared" si="3"/>
        <v>0</v>
      </c>
      <c r="U48" s="16">
        <f t="shared" si="3"/>
        <v>0.8</v>
      </c>
      <c r="V48" s="16">
        <f t="shared" si="3"/>
        <v>0.7</v>
      </c>
      <c r="W48" s="16">
        <f t="shared" si="3"/>
        <v>0.9</v>
      </c>
      <c r="X48" s="16">
        <f t="shared" si="3"/>
        <v>0.9</v>
      </c>
      <c r="Y48" s="16">
        <f t="shared" si="3"/>
        <v>0</v>
      </c>
      <c r="Z48" s="16">
        <f t="shared" si="3"/>
        <v>0.6</v>
      </c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</row>
    <row r="49">
      <c r="A49" s="15" t="s">
        <v>120</v>
      </c>
      <c r="C49" s="14">
        <f>AVERAGEIF(C48:H48, "&lt;&gt;0", C48:H48)
</f>
        <v>0.675</v>
      </c>
      <c r="I49" s="14">
        <f>AVERAGEIF(I48:N48, "&lt;&gt;0", I48:N48)
</f>
        <v>0.72</v>
      </c>
      <c r="O49" s="14">
        <f>AVERAGEIF(O48:T48, "&lt;&gt;0", O48:T48)
</f>
        <v>0.76</v>
      </c>
      <c r="U49" s="14">
        <f>AVERAGEIF(U48:Z48, "&lt;&gt;0", U48:Z48)
</f>
        <v>0.78</v>
      </c>
    </row>
    <row r="50">
      <c r="C50" s="14">
        <f>sum(CORREL(C38:C47,D38:D47),CORREL(C38:C47,E38:E47),CORREL(C38:C47,F38:F47))/3</f>
        <v>-0.1566798205</v>
      </c>
      <c r="D50" s="14">
        <f>sum(CORREL(D38:D47,C38:C47),CORREL(D38:D47,F38:F47),CORREL(D38:D47,E38:E47))/3</f>
        <v>0.3563483225</v>
      </c>
      <c r="E50" s="14">
        <f>sum(CORREL(E38:E47,F38:F47),CORREL(E38:E47,C38:C47),CORREL(E38:E47,D38:D47))/3</f>
        <v>0.1402771149</v>
      </c>
      <c r="F50" s="14">
        <f>sum(CORREL(F38:F47,C38:C47),CORREL(F38:F47,D38:D47),CORREL(F38:F47,E38:E47))/3</f>
        <v>0.1505288059</v>
      </c>
    </row>
    <row r="52">
      <c r="A52" s="1" t="s">
        <v>90</v>
      </c>
      <c r="B52" s="1" t="s">
        <v>91</v>
      </c>
      <c r="C52" s="1" t="s">
        <v>92</v>
      </c>
      <c r="D52" s="2"/>
      <c r="E52" s="2"/>
      <c r="F52" s="2"/>
      <c r="G52" s="2"/>
      <c r="H52" s="2"/>
      <c r="I52" s="1" t="s">
        <v>93</v>
      </c>
      <c r="J52" s="2"/>
      <c r="K52" s="2"/>
      <c r="L52" s="2"/>
      <c r="M52" s="2"/>
      <c r="N52" s="2"/>
      <c r="O52" s="1" t="s">
        <v>4</v>
      </c>
      <c r="P52" s="2"/>
      <c r="Q52" s="2"/>
      <c r="R52" s="2"/>
      <c r="S52" s="2"/>
      <c r="T52" s="2"/>
      <c r="U52" s="1" t="s">
        <v>5</v>
      </c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</row>
    <row r="53">
      <c r="A53" s="3" t="s">
        <v>6</v>
      </c>
      <c r="B53" s="3" t="s">
        <v>7</v>
      </c>
      <c r="C53" s="4" t="s">
        <v>94</v>
      </c>
      <c r="D53" s="4" t="s">
        <v>95</v>
      </c>
      <c r="E53" s="4" t="s">
        <v>96</v>
      </c>
      <c r="F53" s="4" t="s">
        <v>97</v>
      </c>
      <c r="G53" s="4" t="s">
        <v>98</v>
      </c>
      <c r="H53" s="4" t="s">
        <v>99</v>
      </c>
      <c r="I53" s="4" t="s">
        <v>100</v>
      </c>
      <c r="J53" s="4" t="s">
        <v>101</v>
      </c>
      <c r="K53" s="4" t="s">
        <v>102</v>
      </c>
      <c r="L53" s="4" t="s">
        <v>103</v>
      </c>
      <c r="M53" s="4" t="s">
        <v>104</v>
      </c>
      <c r="N53" s="4" t="s">
        <v>105</v>
      </c>
      <c r="O53" s="4" t="s">
        <v>106</v>
      </c>
      <c r="P53" s="4" t="s">
        <v>107</v>
      </c>
      <c r="Q53" s="4" t="s">
        <v>108</v>
      </c>
      <c r="R53" s="4" t="s">
        <v>109</v>
      </c>
      <c r="S53" s="4" t="s">
        <v>110</v>
      </c>
      <c r="T53" s="4" t="s">
        <v>111</v>
      </c>
      <c r="U53" s="4" t="s">
        <v>112</v>
      </c>
      <c r="V53" s="4" t="s">
        <v>113</v>
      </c>
      <c r="W53" s="4" t="s">
        <v>114</v>
      </c>
      <c r="X53" s="4" t="s">
        <v>115</v>
      </c>
      <c r="Y53" s="4" t="s">
        <v>116</v>
      </c>
      <c r="Z53" s="4" t="s">
        <v>117</v>
      </c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</row>
    <row r="54">
      <c r="B54" s="14" t="str">
        <f>Sheet1!B54</f>
        <v>g</v>
      </c>
      <c r="C54" s="15">
        <f>if($B54=Sheet1!C54,1,0)</f>
        <v>1</v>
      </c>
      <c r="D54" s="15">
        <f>if($B54=Sheet1!D54,1,0)</f>
        <v>1</v>
      </c>
      <c r="E54" s="15">
        <f>if($B54=Sheet1!E54,1,0)</f>
        <v>1</v>
      </c>
      <c r="F54" s="15">
        <f>if($B54=Sheet1!F54,1,0)</f>
        <v>1</v>
      </c>
      <c r="G54" s="15">
        <f>if($B54=Sheet1!G54,1,0)</f>
        <v>1</v>
      </c>
      <c r="H54" s="15">
        <f>if($B54=Sheet1!H54,1,0)</f>
        <v>0</v>
      </c>
      <c r="I54" s="15">
        <f>if($B54=Sheet1!I54,1,0)</f>
        <v>1</v>
      </c>
      <c r="J54" s="15">
        <f>if($B54=Sheet1!J54,1,0)</f>
        <v>1</v>
      </c>
      <c r="K54" s="15">
        <f>if($B54=Sheet1!K54,1,0)</f>
        <v>1</v>
      </c>
      <c r="L54" s="15">
        <f>if($B54=Sheet1!L54,1,0)</f>
        <v>1</v>
      </c>
      <c r="M54" s="15">
        <f>if($B54=Sheet1!M54,1,0)</f>
        <v>0</v>
      </c>
      <c r="N54" s="15">
        <f>if($B54=Sheet1!N54,1,0)</f>
        <v>1</v>
      </c>
      <c r="O54" s="15">
        <f>if($B54=Sheet1!O54,1,0)</f>
        <v>1</v>
      </c>
      <c r="P54" s="15">
        <f>if($B54=Sheet1!P54,1,0)</f>
        <v>1</v>
      </c>
      <c r="Q54" s="15">
        <f>if($B54=Sheet1!Q54,1,0)</f>
        <v>1</v>
      </c>
      <c r="R54" s="15">
        <f>if($B54=Sheet1!R54,1,0)</f>
        <v>1</v>
      </c>
      <c r="S54" s="15">
        <f>if($B54=Sheet1!S54,1,0)</f>
        <v>0</v>
      </c>
      <c r="T54" s="15">
        <f>if($B54=Sheet1!T54,1,0)</f>
        <v>0</v>
      </c>
      <c r="U54" s="15">
        <f>if($B54=Sheet1!U54,1,0)</f>
        <v>1</v>
      </c>
      <c r="V54" s="15">
        <f>if($B54=Sheet1!V54,1,0)</f>
        <v>1</v>
      </c>
      <c r="W54" s="15">
        <f>if($B54=Sheet1!W54,1,0)</f>
        <v>1</v>
      </c>
      <c r="X54" s="15">
        <f>if($B54=Sheet1!X54,1,0)</f>
        <v>1</v>
      </c>
      <c r="Y54" s="15">
        <f>if($B54=Sheet1!Y54,1,0)</f>
        <v>1</v>
      </c>
      <c r="Z54" s="15">
        <f>if($B54=Sheet1!Z54,1,0)</f>
        <v>0</v>
      </c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</row>
    <row r="55">
      <c r="B55" s="14" t="str">
        <f>Sheet1!B55</f>
        <v>r</v>
      </c>
      <c r="C55" s="15">
        <f>if(B55=Sheet1!C55,1,0)</f>
        <v>1</v>
      </c>
      <c r="D55" s="15">
        <f>if($B55=Sheet1!D55,1,0)</f>
        <v>1</v>
      </c>
      <c r="E55" s="15">
        <f>if($B55=Sheet1!E55,1,0)</f>
        <v>1</v>
      </c>
      <c r="F55" s="15">
        <f>if($B55=Sheet1!F55,1,0)</f>
        <v>1</v>
      </c>
      <c r="G55" s="15">
        <f>if($B55=Sheet1!G55,1,0)</f>
        <v>1</v>
      </c>
      <c r="H55" s="15">
        <f>if($B55=Sheet1!H55,1,0)</f>
        <v>0</v>
      </c>
      <c r="I55" s="15">
        <f>if($B55=Sheet1!I55,1,0)</f>
        <v>1</v>
      </c>
      <c r="J55" s="15">
        <f>if($B55=Sheet1!J55,1,0)</f>
        <v>1</v>
      </c>
      <c r="K55" s="15">
        <f>if($B55=Sheet1!K55,1,0)</f>
        <v>1</v>
      </c>
      <c r="L55" s="15">
        <f>if($B55=Sheet1!L55,1,0)</f>
        <v>1</v>
      </c>
      <c r="M55" s="15">
        <f>if($B55=Sheet1!M55,1,0)</f>
        <v>0</v>
      </c>
      <c r="N55" s="15">
        <f>if($B55=Sheet1!N55,1,0)</f>
        <v>1</v>
      </c>
      <c r="O55" s="15">
        <f>if($B55=Sheet1!O55,1,0)</f>
        <v>1</v>
      </c>
      <c r="P55" s="15">
        <f>if($B55=Sheet1!P55,1,0)</f>
        <v>1</v>
      </c>
      <c r="Q55" s="15">
        <f>if($B55=Sheet1!Q55,1,0)</f>
        <v>1</v>
      </c>
      <c r="R55" s="15">
        <f>if($B55=Sheet1!R55,1,0)</f>
        <v>1</v>
      </c>
      <c r="S55" s="15">
        <f>if($B55=Sheet1!S55,1,0)</f>
        <v>0</v>
      </c>
      <c r="T55" s="15">
        <f>if($B55=Sheet1!T55,1,0)</f>
        <v>0</v>
      </c>
      <c r="U55" s="15">
        <f>if($B55=Sheet1!U55,1,0)</f>
        <v>1</v>
      </c>
      <c r="V55" s="15">
        <f>if($B55=Sheet1!V55,1,0)</f>
        <v>1</v>
      </c>
      <c r="W55" s="15">
        <f>if($B55=Sheet1!W55,1,0)</f>
        <v>1</v>
      </c>
      <c r="X55" s="15">
        <f>if($B55=Sheet1!X55,1,0)</f>
        <v>1</v>
      </c>
      <c r="Y55" s="15">
        <f>if($B55=Sheet1!Y55,1,0)</f>
        <v>1</v>
      </c>
      <c r="Z55" s="15">
        <f>if($B55=Sheet1!Z55,1,0)</f>
        <v>0</v>
      </c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</row>
    <row r="56">
      <c r="B56" s="14" t="str">
        <f>Sheet1!B56</f>
        <v>r</v>
      </c>
      <c r="C56" s="15">
        <f>if(B56=Sheet1!C56,1,0)</f>
        <v>1</v>
      </c>
      <c r="D56" s="15">
        <f>if($B56=Sheet1!D56,1,0)</f>
        <v>1</v>
      </c>
      <c r="E56" s="15">
        <f>if($B56=Sheet1!E56,1,0)</f>
        <v>1</v>
      </c>
      <c r="F56" s="15">
        <f>if($B56=Sheet1!F56,1,0)</f>
        <v>1</v>
      </c>
      <c r="G56" s="15">
        <f>if($B56=Sheet1!G56,1,0)</f>
        <v>1</v>
      </c>
      <c r="H56" s="15">
        <f>if($B56=Sheet1!H56,1,0)</f>
        <v>0</v>
      </c>
      <c r="I56" s="15">
        <f>if($B56=Sheet1!I56,1,0)</f>
        <v>1</v>
      </c>
      <c r="J56" s="15">
        <f>if($B56=Sheet1!J56,1,0)</f>
        <v>1</v>
      </c>
      <c r="K56" s="15">
        <f>if($B56=Sheet1!K56,1,0)</f>
        <v>1</v>
      </c>
      <c r="L56" s="15">
        <f>if($B56=Sheet1!L56,1,0)</f>
        <v>1</v>
      </c>
      <c r="M56" s="15">
        <f>if($B56=Sheet1!M56,1,0)</f>
        <v>0</v>
      </c>
      <c r="N56" s="15">
        <f>if($B56=Sheet1!N56,1,0)</f>
        <v>1</v>
      </c>
      <c r="O56" s="15">
        <f>if($B56=Sheet1!O56,1,0)</f>
        <v>1</v>
      </c>
      <c r="P56" s="15">
        <f>if($B56=Sheet1!P56,1,0)</f>
        <v>1</v>
      </c>
      <c r="Q56" s="15">
        <f>if($B56=Sheet1!Q56,1,0)</f>
        <v>1</v>
      </c>
      <c r="R56" s="15">
        <f>if($B56=Sheet1!R56,1,0)</f>
        <v>1</v>
      </c>
      <c r="S56" s="15">
        <f>if($B56=Sheet1!S56,1,0)</f>
        <v>0</v>
      </c>
      <c r="T56" s="15">
        <f>if($B56=Sheet1!T56,1,0)</f>
        <v>0</v>
      </c>
      <c r="U56" s="15">
        <f>if($B56=Sheet1!U56,1,0)</f>
        <v>1</v>
      </c>
      <c r="V56" s="15">
        <f>if($B56=Sheet1!V56,1,0)</f>
        <v>1</v>
      </c>
      <c r="W56" s="15">
        <f>if($B56=Sheet1!W56,1,0)</f>
        <v>1</v>
      </c>
      <c r="X56" s="15">
        <f>if($B56=Sheet1!X56,1,0)</f>
        <v>1</v>
      </c>
      <c r="Y56" s="15">
        <f>if($B56=Sheet1!Y56,1,0)</f>
        <v>1</v>
      </c>
      <c r="Z56" s="15">
        <f>if($B56=Sheet1!Z56,1,0)</f>
        <v>0</v>
      </c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</row>
    <row r="57">
      <c r="B57" s="14" t="str">
        <f>Sheet1!B57</f>
        <v>g</v>
      </c>
      <c r="C57" s="15">
        <f>if(B57=Sheet1!C57,1,0)</f>
        <v>1</v>
      </c>
      <c r="D57" s="15">
        <f>if($B57=Sheet1!D57,1,0)</f>
        <v>1</v>
      </c>
      <c r="E57" s="15">
        <f>if($B57=Sheet1!E57,1,0)</f>
        <v>1</v>
      </c>
      <c r="F57" s="15">
        <f>if($B57=Sheet1!F57,1,0)</f>
        <v>1</v>
      </c>
      <c r="G57" s="15">
        <f>if($B57=Sheet1!G57,1,0)</f>
        <v>1</v>
      </c>
      <c r="H57" s="15">
        <f>if($B57=Sheet1!H57,1,0)</f>
        <v>0</v>
      </c>
      <c r="I57" s="15">
        <f>if($B57=Sheet1!I57,1,0)</f>
        <v>1</v>
      </c>
      <c r="J57" s="15">
        <f>if($B57=Sheet1!J57,1,0)</f>
        <v>1</v>
      </c>
      <c r="K57" s="15">
        <f>if($B57=Sheet1!K57,1,0)</f>
        <v>1</v>
      </c>
      <c r="L57" s="15">
        <f>if($B57=Sheet1!L57,1,0)</f>
        <v>1</v>
      </c>
      <c r="M57" s="15">
        <f>if($B57=Sheet1!M57,1,0)</f>
        <v>0</v>
      </c>
      <c r="N57" s="15">
        <f>if($B57=Sheet1!N57,1,0)</f>
        <v>1</v>
      </c>
      <c r="O57" s="15">
        <f>if($B57=Sheet1!O57,1,0)</f>
        <v>1</v>
      </c>
      <c r="P57" s="15">
        <f>if($B57=Sheet1!P57,1,0)</f>
        <v>1</v>
      </c>
      <c r="Q57" s="15">
        <f>if($B57=Sheet1!Q57,1,0)</f>
        <v>1</v>
      </c>
      <c r="R57" s="15">
        <f>if($B57=Sheet1!R57,1,0)</f>
        <v>1</v>
      </c>
      <c r="S57" s="15">
        <f>if($B57=Sheet1!S57,1,0)</f>
        <v>0</v>
      </c>
      <c r="T57" s="15">
        <f>if($B57=Sheet1!T57,1,0)</f>
        <v>0</v>
      </c>
      <c r="U57" s="15">
        <f>if($B57=Sheet1!U57,1,0)</f>
        <v>1</v>
      </c>
      <c r="V57" s="15">
        <f>if($B57=Sheet1!V57,1,0)</f>
        <v>1</v>
      </c>
      <c r="W57" s="15">
        <f>if($B57=Sheet1!W57,1,0)</f>
        <v>1</v>
      </c>
      <c r="X57" s="15">
        <f>if($B57=Sheet1!X57,1,0)</f>
        <v>0</v>
      </c>
      <c r="Y57" s="15">
        <f>if($B57=Sheet1!Y57,1,0)</f>
        <v>1</v>
      </c>
      <c r="Z57" s="15">
        <f>if($B57=Sheet1!Z57,1,0)</f>
        <v>0</v>
      </c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</row>
    <row r="58">
      <c r="B58" s="14" t="str">
        <f>Sheet1!B58</f>
        <v>b</v>
      </c>
      <c r="C58" s="15">
        <f>if(B58=Sheet1!C58,1,0)</f>
        <v>1</v>
      </c>
      <c r="D58" s="15">
        <f>if($B58=Sheet1!D58,1,0)</f>
        <v>1</v>
      </c>
      <c r="E58" s="15">
        <f>if($B58=Sheet1!E58,1,0)</f>
        <v>1</v>
      </c>
      <c r="F58" s="15">
        <f>if($B58=Sheet1!F58,1,0)</f>
        <v>1</v>
      </c>
      <c r="G58" s="15">
        <f>if($B58=Sheet1!G58,1,0)</f>
        <v>1</v>
      </c>
      <c r="H58" s="15">
        <f>if($B58=Sheet1!H58,1,0)</f>
        <v>0</v>
      </c>
      <c r="I58" s="15">
        <f>if($B58=Sheet1!I58,1,0)</f>
        <v>1</v>
      </c>
      <c r="J58" s="15">
        <f>if($B58=Sheet1!J58,1,0)</f>
        <v>1</v>
      </c>
      <c r="K58" s="15">
        <f>if($B58=Sheet1!K58,1,0)</f>
        <v>1</v>
      </c>
      <c r="L58" s="15">
        <f>if($B58=Sheet1!L58,1,0)</f>
        <v>1</v>
      </c>
      <c r="M58" s="15">
        <f>if($B58=Sheet1!M58,1,0)</f>
        <v>0</v>
      </c>
      <c r="N58" s="15">
        <f>if($B58=Sheet1!N58,1,0)</f>
        <v>1</v>
      </c>
      <c r="O58" s="15">
        <f>if($B58=Sheet1!O58,1,0)</f>
        <v>1</v>
      </c>
      <c r="P58" s="15">
        <f>if($B58=Sheet1!P58,1,0)</f>
        <v>1</v>
      </c>
      <c r="Q58" s="15">
        <f>if($B58=Sheet1!Q58,1,0)</f>
        <v>1</v>
      </c>
      <c r="R58" s="15">
        <f>if($B58=Sheet1!R58,1,0)</f>
        <v>1</v>
      </c>
      <c r="S58" s="15">
        <f>if($B58=Sheet1!S58,1,0)</f>
        <v>0</v>
      </c>
      <c r="T58" s="15">
        <f>if($B58=Sheet1!T58,1,0)</f>
        <v>0</v>
      </c>
      <c r="U58" s="15">
        <f>if($B58=Sheet1!U58,1,0)</f>
        <v>1</v>
      </c>
      <c r="V58" s="15">
        <f>if($B58=Sheet1!V58,1,0)</f>
        <v>1</v>
      </c>
      <c r="W58" s="15">
        <f>if($B58=Sheet1!W58,1,0)</f>
        <v>1</v>
      </c>
      <c r="X58" s="15">
        <f>if($B58=Sheet1!X58,1,0)</f>
        <v>1</v>
      </c>
      <c r="Y58" s="15">
        <f>if($B58=Sheet1!Y58,1,0)</f>
        <v>1</v>
      </c>
      <c r="Z58" s="15">
        <f>if($B58=Sheet1!Z58,1,0)</f>
        <v>0</v>
      </c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</row>
    <row r="59">
      <c r="B59" s="14" t="str">
        <f>Sheet1!B59</f>
        <v>b</v>
      </c>
      <c r="C59" s="15">
        <f>if(B59=Sheet1!C59,1,0)</f>
        <v>1</v>
      </c>
      <c r="D59" s="15">
        <f>if($B59=Sheet1!D59,1,0)</f>
        <v>1</v>
      </c>
      <c r="E59" s="15">
        <f>if($B59=Sheet1!E59,1,0)</f>
        <v>1</v>
      </c>
      <c r="F59" s="15">
        <f>if($B59=Sheet1!F59,1,0)</f>
        <v>1</v>
      </c>
      <c r="G59" s="15">
        <f>if($B59=Sheet1!G59,1,0)</f>
        <v>1</v>
      </c>
      <c r="H59" s="15">
        <f>if($B59=Sheet1!H59,1,0)</f>
        <v>0</v>
      </c>
      <c r="I59" s="15">
        <f>if($B59=Sheet1!I59,1,0)</f>
        <v>1</v>
      </c>
      <c r="J59" s="15">
        <f>if($B59=Sheet1!J59,1,0)</f>
        <v>1</v>
      </c>
      <c r="K59" s="15">
        <f>if($B59=Sheet1!K59,1,0)</f>
        <v>1</v>
      </c>
      <c r="L59" s="15">
        <f>if($B59=Sheet1!L59,1,0)</f>
        <v>1</v>
      </c>
      <c r="M59" s="15">
        <f>if($B59=Sheet1!M59,1,0)</f>
        <v>0</v>
      </c>
      <c r="N59" s="15">
        <f>if($B59=Sheet1!N59,1,0)</f>
        <v>1</v>
      </c>
      <c r="O59" s="15">
        <f>if($B59=Sheet1!O59,1,0)</f>
        <v>1</v>
      </c>
      <c r="P59" s="15">
        <f>if($B59=Sheet1!P59,1,0)</f>
        <v>1</v>
      </c>
      <c r="Q59" s="15">
        <f>if($B59=Sheet1!Q59,1,0)</f>
        <v>1</v>
      </c>
      <c r="R59" s="15">
        <f>if($B59=Sheet1!R59,1,0)</f>
        <v>1</v>
      </c>
      <c r="S59" s="15">
        <f>if($B59=Sheet1!S59,1,0)</f>
        <v>0</v>
      </c>
      <c r="T59" s="15">
        <f>if($B59=Sheet1!T59,1,0)</f>
        <v>0</v>
      </c>
      <c r="U59" s="15">
        <f>if($B59=Sheet1!U59,1,0)</f>
        <v>1</v>
      </c>
      <c r="V59" s="15">
        <f>if($B59=Sheet1!V59,1,0)</f>
        <v>1</v>
      </c>
      <c r="W59" s="15">
        <f>if($B59=Sheet1!W59,1,0)</f>
        <v>1</v>
      </c>
      <c r="X59" s="15">
        <f>if($B59=Sheet1!X59,1,0)</f>
        <v>1</v>
      </c>
      <c r="Y59" s="15">
        <f>if($B59=Sheet1!Y59,1,0)</f>
        <v>1</v>
      </c>
      <c r="Z59" s="15">
        <f>if($B59=Sheet1!Z59,1,0)</f>
        <v>0</v>
      </c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</row>
    <row r="60">
      <c r="B60" s="14" t="str">
        <f>Sheet1!B60</f>
        <v>g</v>
      </c>
      <c r="C60" s="15">
        <f>if(B60=Sheet1!C60,1,0)</f>
        <v>1</v>
      </c>
      <c r="D60" s="15">
        <f>if($B60=Sheet1!D60,1,0)</f>
        <v>1</v>
      </c>
      <c r="E60" s="15">
        <f>if($B60=Sheet1!E60,1,0)</f>
        <v>0</v>
      </c>
      <c r="F60" s="15">
        <f>if($B60=Sheet1!F60,1,0)</f>
        <v>1</v>
      </c>
      <c r="G60" s="15">
        <f>if($B60=Sheet1!G60,1,0)</f>
        <v>1</v>
      </c>
      <c r="H60" s="15">
        <f>if($B60=Sheet1!H60,1,0)</f>
        <v>0</v>
      </c>
      <c r="I60" s="15">
        <f>if($B60=Sheet1!I60,1,0)</f>
        <v>1</v>
      </c>
      <c r="J60" s="15">
        <f>if($B60=Sheet1!J60,1,0)</f>
        <v>1</v>
      </c>
      <c r="K60" s="15">
        <f>if($B60=Sheet1!K60,1,0)</f>
        <v>1</v>
      </c>
      <c r="L60" s="15">
        <f>if($B60=Sheet1!L60,1,0)</f>
        <v>1</v>
      </c>
      <c r="M60" s="15">
        <f>if($B60=Sheet1!M60,1,0)</f>
        <v>0</v>
      </c>
      <c r="N60" s="15">
        <f>if($B60=Sheet1!N60,1,0)</f>
        <v>1</v>
      </c>
      <c r="O60" s="15">
        <f>if($B60=Sheet1!O60,1,0)</f>
        <v>1</v>
      </c>
      <c r="P60" s="15">
        <f>if($B60=Sheet1!P60,1,0)</f>
        <v>1</v>
      </c>
      <c r="Q60" s="15">
        <f>if($B60=Sheet1!Q60,1,0)</f>
        <v>1</v>
      </c>
      <c r="R60" s="15">
        <f>if($B60=Sheet1!R60,1,0)</f>
        <v>1</v>
      </c>
      <c r="S60" s="15">
        <f>if($B60=Sheet1!S60,1,0)</f>
        <v>0</v>
      </c>
      <c r="T60" s="15">
        <f>if($B60=Sheet1!T60,1,0)</f>
        <v>0</v>
      </c>
      <c r="U60" s="15">
        <f>if($B60=Sheet1!U60,1,0)</f>
        <v>1</v>
      </c>
      <c r="V60" s="15">
        <f>if($B60=Sheet1!V60,1,0)</f>
        <v>1</v>
      </c>
      <c r="W60" s="15">
        <f>if($B60=Sheet1!W60,1,0)</f>
        <v>1</v>
      </c>
      <c r="X60" s="15">
        <f>if($B60=Sheet1!X60,1,0)</f>
        <v>0</v>
      </c>
      <c r="Y60" s="15">
        <f>if($B60=Sheet1!Y60,1,0)</f>
        <v>1</v>
      </c>
      <c r="Z60" s="15">
        <f>if($B60=Sheet1!Z60,1,0)</f>
        <v>0</v>
      </c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</row>
    <row r="61">
      <c r="B61" s="14" t="str">
        <f>Sheet1!B61</f>
        <v>b</v>
      </c>
      <c r="C61" s="15">
        <f>if(B61=Sheet1!C61,1,0)</f>
        <v>1</v>
      </c>
      <c r="D61" s="15">
        <f>if($B61=Sheet1!D61,1,0)</f>
        <v>1</v>
      </c>
      <c r="E61" s="15">
        <f>if($B61=Sheet1!E61,1,0)</f>
        <v>1</v>
      </c>
      <c r="F61" s="15">
        <f>if($B61=Sheet1!F61,1,0)</f>
        <v>1</v>
      </c>
      <c r="G61" s="15">
        <f>if($B61=Sheet1!G61,1,0)</f>
        <v>1</v>
      </c>
      <c r="H61" s="15">
        <f>if($B61=Sheet1!H61,1,0)</f>
        <v>0</v>
      </c>
      <c r="I61" s="15">
        <f>if($B61=Sheet1!I61,1,0)</f>
        <v>1</v>
      </c>
      <c r="J61" s="15">
        <f>if($B61=Sheet1!J61,1,0)</f>
        <v>1</v>
      </c>
      <c r="K61" s="15">
        <f>if($B61=Sheet1!K61,1,0)</f>
        <v>1</v>
      </c>
      <c r="L61" s="15">
        <f>if($B61=Sheet1!L61,1,0)</f>
        <v>1</v>
      </c>
      <c r="M61" s="15">
        <f>if($B61=Sheet1!M61,1,0)</f>
        <v>0</v>
      </c>
      <c r="N61" s="15">
        <f>if($B61=Sheet1!N61,1,0)</f>
        <v>1</v>
      </c>
      <c r="O61" s="15">
        <f>if($B61=Sheet1!O61,1,0)</f>
        <v>1</v>
      </c>
      <c r="P61" s="15">
        <f>if($B61=Sheet1!P61,1,0)</f>
        <v>1</v>
      </c>
      <c r="Q61" s="15">
        <f>if($B61=Sheet1!Q61,1,0)</f>
        <v>1</v>
      </c>
      <c r="R61" s="15">
        <f>if($B61=Sheet1!R61,1,0)</f>
        <v>1</v>
      </c>
      <c r="S61" s="15">
        <f>if($B61=Sheet1!S61,1,0)</f>
        <v>0</v>
      </c>
      <c r="T61" s="15">
        <f>if($B61=Sheet1!T61,1,0)</f>
        <v>0</v>
      </c>
      <c r="U61" s="15">
        <f>if($B61=Sheet1!U61,1,0)</f>
        <v>1</v>
      </c>
      <c r="V61" s="15">
        <f>if($B61=Sheet1!V61,1,0)</f>
        <v>1</v>
      </c>
      <c r="W61" s="15">
        <f>if($B61=Sheet1!W61,1,0)</f>
        <v>1</v>
      </c>
      <c r="X61" s="15">
        <f>if($B61=Sheet1!X61,1,0)</f>
        <v>1</v>
      </c>
      <c r="Y61" s="15">
        <f>if($B61=Sheet1!Y61,1,0)</f>
        <v>1</v>
      </c>
      <c r="Z61" s="15">
        <f>if($B61=Sheet1!Z61,1,0)</f>
        <v>0</v>
      </c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</row>
    <row r="62">
      <c r="B62" s="14" t="str">
        <f>Sheet1!B62</f>
        <v>r</v>
      </c>
      <c r="C62" s="15">
        <f>if(B62=Sheet1!C62,1,0)</f>
        <v>1</v>
      </c>
      <c r="D62" s="15">
        <f>if($B62=Sheet1!D62,1,0)</f>
        <v>1</v>
      </c>
      <c r="E62" s="15">
        <f>if($B62=Sheet1!E62,1,0)</f>
        <v>1</v>
      </c>
      <c r="F62" s="15">
        <f>if($B62=Sheet1!F62,1,0)</f>
        <v>1</v>
      </c>
      <c r="G62" s="15">
        <f>if($B62=Sheet1!G62,1,0)</f>
        <v>1</v>
      </c>
      <c r="H62" s="15">
        <f>if($B62=Sheet1!H62,1,0)</f>
        <v>0</v>
      </c>
      <c r="I62" s="15">
        <f>if($B62=Sheet1!I62,1,0)</f>
        <v>1</v>
      </c>
      <c r="J62" s="15">
        <f>if($B62=Sheet1!J62,1,0)</f>
        <v>1</v>
      </c>
      <c r="K62" s="15">
        <f>if($B62=Sheet1!K62,1,0)</f>
        <v>1</v>
      </c>
      <c r="L62" s="15">
        <f>if($B62=Sheet1!L62,1,0)</f>
        <v>1</v>
      </c>
      <c r="M62" s="15">
        <f>if($B62=Sheet1!M62,1,0)</f>
        <v>0</v>
      </c>
      <c r="N62" s="15">
        <f>if($B62=Sheet1!N62,1,0)</f>
        <v>1</v>
      </c>
      <c r="O62" s="15">
        <f>if($B62=Sheet1!O62,1,0)</f>
        <v>1</v>
      </c>
      <c r="P62" s="15">
        <f>if($B62=Sheet1!P62,1,0)</f>
        <v>1</v>
      </c>
      <c r="Q62" s="15">
        <f>if($B62=Sheet1!Q62,1,0)</f>
        <v>1</v>
      </c>
      <c r="R62" s="15">
        <f>if($B62=Sheet1!R62,1,0)</f>
        <v>1</v>
      </c>
      <c r="S62" s="15">
        <f>if($B62=Sheet1!S62,1,0)</f>
        <v>0</v>
      </c>
      <c r="T62" s="15">
        <f>if($B62=Sheet1!T62,1,0)</f>
        <v>0</v>
      </c>
      <c r="U62" s="15">
        <f>if($B62=Sheet1!U62,1,0)</f>
        <v>1</v>
      </c>
      <c r="V62" s="15">
        <f>if($B62=Sheet1!V62,1,0)</f>
        <v>1</v>
      </c>
      <c r="W62" s="15">
        <f>if($B62=Sheet1!W62,1,0)</f>
        <v>1</v>
      </c>
      <c r="X62" s="15">
        <f>if($B62=Sheet1!X62,1,0)</f>
        <v>1</v>
      </c>
      <c r="Y62" s="15">
        <f>if($B62=Sheet1!Y62,1,0)</f>
        <v>1</v>
      </c>
      <c r="Z62" s="15">
        <f>if($B62=Sheet1!Z62,1,0)</f>
        <v>0</v>
      </c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</row>
    <row r="63">
      <c r="B63" s="14" t="str">
        <f>Sheet1!B63</f>
        <v>r</v>
      </c>
      <c r="C63" s="15">
        <f>if(B63=Sheet1!C63,1,0)</f>
        <v>1</v>
      </c>
      <c r="D63" s="15">
        <f>if($B63=Sheet1!D63,1,0)</f>
        <v>1</v>
      </c>
      <c r="E63" s="15">
        <f>if($B63=Sheet1!E63,1,0)</f>
        <v>1</v>
      </c>
      <c r="F63" s="15">
        <f>if($B63=Sheet1!F63,1,0)</f>
        <v>1</v>
      </c>
      <c r="G63" s="15">
        <f>if($B63=Sheet1!G63,1,0)</f>
        <v>1</v>
      </c>
      <c r="H63" s="15">
        <f>if($B63=Sheet1!H63,1,0)</f>
        <v>0</v>
      </c>
      <c r="I63" s="15">
        <f>if($B63=Sheet1!I63,1,0)</f>
        <v>1</v>
      </c>
      <c r="J63" s="15">
        <f>if($B63=Sheet1!J63,1,0)</f>
        <v>1</v>
      </c>
      <c r="K63" s="15">
        <f>if($B63=Sheet1!K63,1,0)</f>
        <v>1</v>
      </c>
      <c r="L63" s="15">
        <f>if($B63=Sheet1!L63,1,0)</f>
        <v>1</v>
      </c>
      <c r="M63" s="15">
        <f>if($B63=Sheet1!M63,1,0)</f>
        <v>0</v>
      </c>
      <c r="N63" s="15">
        <f>if($B63=Sheet1!N63,1,0)</f>
        <v>1</v>
      </c>
      <c r="O63" s="15">
        <f>if($B63=Sheet1!O63,1,0)</f>
        <v>1</v>
      </c>
      <c r="P63" s="15">
        <f>if($B63=Sheet1!P63,1,0)</f>
        <v>1</v>
      </c>
      <c r="Q63" s="15">
        <f>if($B63=Sheet1!Q63,1,0)</f>
        <v>1</v>
      </c>
      <c r="R63" s="15">
        <f>if($B63=Sheet1!R63,1,0)</f>
        <v>1</v>
      </c>
      <c r="S63" s="15">
        <f>if($B63=Sheet1!S63,1,0)</f>
        <v>0</v>
      </c>
      <c r="T63" s="15">
        <f>if($B63=Sheet1!T63,1,0)</f>
        <v>0</v>
      </c>
      <c r="U63" s="15">
        <f>if($B63=Sheet1!U63,1,0)</f>
        <v>1</v>
      </c>
      <c r="V63" s="15">
        <f>if($B63=Sheet1!V63,1,0)</f>
        <v>1</v>
      </c>
      <c r="W63" s="15">
        <f>if($B63=Sheet1!W63,1,0)</f>
        <v>1</v>
      </c>
      <c r="X63" s="15">
        <f>if($B63=Sheet1!X63,1,0)</f>
        <v>1</v>
      </c>
      <c r="Y63" s="15">
        <f>if($B63=Sheet1!Y63,1,0)</f>
        <v>1</v>
      </c>
      <c r="Z63" s="15">
        <f>if($B63=Sheet1!Z63,1,0)</f>
        <v>0</v>
      </c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</row>
    <row r="64">
      <c r="A64" s="16"/>
      <c r="B64" s="17" t="s">
        <v>119</v>
      </c>
      <c r="C64" s="16">
        <f t="shared" ref="C64:Z64" si="4">SUM(C54:C63)/10</f>
        <v>1</v>
      </c>
      <c r="D64" s="16">
        <f t="shared" si="4"/>
        <v>1</v>
      </c>
      <c r="E64" s="16">
        <f t="shared" si="4"/>
        <v>0.9</v>
      </c>
      <c r="F64" s="16">
        <f t="shared" si="4"/>
        <v>1</v>
      </c>
      <c r="G64" s="16">
        <f t="shared" si="4"/>
        <v>1</v>
      </c>
      <c r="H64" s="16">
        <f t="shared" si="4"/>
        <v>0</v>
      </c>
      <c r="I64" s="16">
        <f t="shared" si="4"/>
        <v>1</v>
      </c>
      <c r="J64" s="16">
        <f t="shared" si="4"/>
        <v>1</v>
      </c>
      <c r="K64" s="16">
        <f t="shared" si="4"/>
        <v>1</v>
      </c>
      <c r="L64" s="16">
        <f t="shared" si="4"/>
        <v>1</v>
      </c>
      <c r="M64" s="16">
        <f t="shared" si="4"/>
        <v>0</v>
      </c>
      <c r="N64" s="16">
        <f t="shared" si="4"/>
        <v>1</v>
      </c>
      <c r="O64" s="16">
        <f t="shared" si="4"/>
        <v>1</v>
      </c>
      <c r="P64" s="16">
        <f t="shared" si="4"/>
        <v>1</v>
      </c>
      <c r="Q64" s="16">
        <f t="shared" si="4"/>
        <v>1</v>
      </c>
      <c r="R64" s="16">
        <f t="shared" si="4"/>
        <v>1</v>
      </c>
      <c r="S64" s="16">
        <f t="shared" si="4"/>
        <v>0</v>
      </c>
      <c r="T64" s="16">
        <f t="shared" si="4"/>
        <v>0</v>
      </c>
      <c r="U64" s="16">
        <f t="shared" si="4"/>
        <v>1</v>
      </c>
      <c r="V64" s="16">
        <f t="shared" si="4"/>
        <v>1</v>
      </c>
      <c r="W64" s="16">
        <f t="shared" si="4"/>
        <v>1</v>
      </c>
      <c r="X64" s="16">
        <f t="shared" si="4"/>
        <v>0.8</v>
      </c>
      <c r="Y64" s="16">
        <f t="shared" si="4"/>
        <v>1</v>
      </c>
      <c r="Z64" s="16">
        <f t="shared" si="4"/>
        <v>0</v>
      </c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</row>
    <row r="65">
      <c r="A65" s="15" t="s">
        <v>120</v>
      </c>
      <c r="C65" s="14">
        <f>AVERAGEIF(C64:H64, "&lt;&gt;0", C64:H64)
</f>
        <v>0.98</v>
      </c>
      <c r="I65" s="14">
        <f>AVERAGEIF(I64:N64, "&lt;&gt;0", I64:N64)
</f>
        <v>1</v>
      </c>
      <c r="O65" s="14">
        <f>AVERAGEIF(O64:T64, "&lt;&gt;0", O64:T64)
</f>
        <v>1</v>
      </c>
      <c r="U65" s="14">
        <f>AVERAGEIF(U64:Z64, "&lt;&gt;0", U64:Z64)
</f>
        <v>0.96</v>
      </c>
    </row>
    <row r="66">
      <c r="C66" s="14" t="str">
        <f>sum(CORREL(C54:C63,D54:D63),CORREL(C54:C63,E54:E63),CORREL(C54:C63,F54:F63),CORREL(C54:C63,G54:G63))/4</f>
        <v>#DIV/0!</v>
      </c>
      <c r="D66" s="14" t="str">
        <f>sum(CORREL(D54:D63,C54:C63),CORREL(D54:D63,F54:F63),CORREL(D54:D63,G54:G63),CORREL(D54:D63,E54:E63))/4</f>
        <v>#DIV/0!</v>
      </c>
      <c r="E66" s="14" t="str">
        <f>sum(CORREL(E54:E63,F54:F63),CORREL(E54:E63,G54:G63),CORREL(E54:E63,C54:C63),CORREL(E54:E63,D54:D63))/4</f>
        <v>#DIV/0!</v>
      </c>
      <c r="F66" s="14" t="str">
        <f>sum(CORREL(F54:F63,C54:C63),CORREL(F54:F63,D54:D63),CORREL(F54:F63,E54:E63),CORREL(F54:F63,G54:G63))/4</f>
        <v>#DIV/0!</v>
      </c>
      <c r="G66" s="14" t="str">
        <f>sum(CORREL(G54:G63,D54:D63),CORREL(G54:G63,E54:E63),CORREL(G54:G63,F54:F63),CORREL(G54:G63,C54:C63))/4</f>
        <v>#DIV/0!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121</v>
      </c>
      <c r="B1" s="15" t="s">
        <v>122</v>
      </c>
      <c r="C1" s="15" t="s">
        <v>123</v>
      </c>
      <c r="D1" s="15" t="s">
        <v>84</v>
      </c>
      <c r="E1" s="15" t="s">
        <v>124</v>
      </c>
      <c r="G1" s="15" t="s">
        <v>125</v>
      </c>
      <c r="H1" s="15" t="s">
        <v>126</v>
      </c>
      <c r="I1" s="15" t="s">
        <v>123</v>
      </c>
      <c r="J1" s="15" t="s">
        <v>84</v>
      </c>
      <c r="K1" s="15" t="s">
        <v>124</v>
      </c>
    </row>
    <row r="2">
      <c r="A2" s="15" t="s">
        <v>127</v>
      </c>
      <c r="B2" s="14">
        <v>0.78</v>
      </c>
      <c r="C2" s="14">
        <v>0.825</v>
      </c>
      <c r="D2" s="14">
        <v>0.76</v>
      </c>
      <c r="E2" s="14">
        <v>0.6599999999999999</v>
      </c>
      <c r="G2" s="15" t="s">
        <v>128</v>
      </c>
      <c r="H2" s="15">
        <v>0.72</v>
      </c>
      <c r="I2" s="15">
        <v>0.92</v>
      </c>
      <c r="J2" s="15">
        <v>1.0</v>
      </c>
      <c r="K2" s="15">
        <v>1.0</v>
      </c>
    </row>
    <row r="3">
      <c r="A3" s="15" t="s">
        <v>129</v>
      </c>
      <c r="B3" s="14">
        <v>0.6799999999999999</v>
      </c>
      <c r="C3" s="14">
        <v>0.72</v>
      </c>
      <c r="D3" s="14">
        <v>0.7200000000000001</v>
      </c>
      <c r="E3" s="14">
        <v>0.7250000000000001</v>
      </c>
      <c r="G3" s="15" t="s">
        <v>129</v>
      </c>
      <c r="H3" s="15">
        <v>0.82</v>
      </c>
      <c r="I3" s="15">
        <v>0.97</v>
      </c>
      <c r="J3" s="15">
        <v>1.0</v>
      </c>
      <c r="K3" s="15">
        <v>1.0</v>
      </c>
    </row>
    <row r="4">
      <c r="A4" s="15" t="s">
        <v>130</v>
      </c>
      <c r="B4" s="14">
        <v>0.6749999999999999</v>
      </c>
      <c r="C4" s="14">
        <v>0.7200000000000001</v>
      </c>
      <c r="D4" s="14">
        <v>0.76</v>
      </c>
      <c r="E4" s="14">
        <v>0.78</v>
      </c>
      <c r="G4" s="15" t="s">
        <v>130</v>
      </c>
      <c r="H4" s="15">
        <v>0.9</v>
      </c>
      <c r="I4" s="15">
        <v>0.96</v>
      </c>
      <c r="J4" s="15">
        <v>1.0</v>
      </c>
      <c r="K4" s="15">
        <v>1.0</v>
      </c>
    </row>
    <row r="5">
      <c r="A5" s="15" t="s">
        <v>131</v>
      </c>
      <c r="B5" s="14">
        <v>0.9800000000000001</v>
      </c>
      <c r="C5" s="14">
        <v>1.0</v>
      </c>
      <c r="D5" s="14">
        <v>1.0</v>
      </c>
      <c r="E5" s="14">
        <v>0.96</v>
      </c>
      <c r="G5" s="15" t="s">
        <v>131</v>
      </c>
      <c r="H5" s="15">
        <v>0.95</v>
      </c>
      <c r="I5" s="15">
        <v>0.99</v>
      </c>
      <c r="J5" s="15">
        <v>1.0</v>
      </c>
      <c r="K5" s="15">
        <v>1.0</v>
      </c>
    </row>
    <row r="8">
      <c r="B8" s="15" t="s">
        <v>127</v>
      </c>
      <c r="C8" s="15" t="s">
        <v>129</v>
      </c>
      <c r="D8" s="15" t="s">
        <v>130</v>
      </c>
      <c r="E8" s="15" t="s">
        <v>131</v>
      </c>
      <c r="G8" s="15" t="s">
        <v>132</v>
      </c>
      <c r="H8" s="15" t="s">
        <v>126</v>
      </c>
      <c r="I8" s="15" t="s">
        <v>123</v>
      </c>
      <c r="J8" s="15" t="s">
        <v>84</v>
      </c>
      <c r="K8" s="15" t="s">
        <v>124</v>
      </c>
    </row>
    <row r="9">
      <c r="A9" s="15" t="s">
        <v>122</v>
      </c>
      <c r="B9" s="14">
        <v>0.78</v>
      </c>
      <c r="C9" s="14">
        <v>0.6799999999999999</v>
      </c>
      <c r="D9" s="14">
        <v>0.6749999999999999</v>
      </c>
      <c r="E9" s="14">
        <v>0.9800000000000001</v>
      </c>
      <c r="G9" s="15" t="s">
        <v>128</v>
      </c>
      <c r="H9" s="15">
        <f t="shared" ref="H9:K9" si="1">H2*B2</f>
        <v>0.5616</v>
      </c>
      <c r="I9" s="15">
        <f t="shared" si="1"/>
        <v>0.759</v>
      </c>
      <c r="J9" s="15">
        <f t="shared" si="1"/>
        <v>0.76</v>
      </c>
      <c r="K9" s="15">
        <f t="shared" si="1"/>
        <v>0.66</v>
      </c>
    </row>
    <row r="10">
      <c r="A10" s="15" t="s">
        <v>123</v>
      </c>
      <c r="B10" s="14">
        <v>0.825</v>
      </c>
      <c r="C10" s="14">
        <v>0.72</v>
      </c>
      <c r="D10" s="14">
        <v>0.7200000000000001</v>
      </c>
      <c r="E10" s="14">
        <v>1.0</v>
      </c>
      <c r="G10" s="15" t="s">
        <v>129</v>
      </c>
      <c r="H10" s="15">
        <f t="shared" ref="H10:K10" si="2">H3*B3</f>
        <v>0.5576</v>
      </c>
      <c r="I10" s="15">
        <f t="shared" si="2"/>
        <v>0.6984</v>
      </c>
      <c r="J10" s="15">
        <f t="shared" si="2"/>
        <v>0.72</v>
      </c>
      <c r="K10" s="15">
        <f t="shared" si="2"/>
        <v>0.725</v>
      </c>
    </row>
    <row r="11">
      <c r="A11" s="15" t="s">
        <v>84</v>
      </c>
      <c r="B11" s="14">
        <v>0.76</v>
      </c>
      <c r="C11" s="14">
        <v>0.7200000000000001</v>
      </c>
      <c r="D11" s="14">
        <v>0.76</v>
      </c>
      <c r="E11" s="14">
        <v>1.0</v>
      </c>
      <c r="G11" s="15" t="s">
        <v>130</v>
      </c>
      <c r="H11" s="15">
        <f t="shared" ref="H11:K11" si="3">H4*B4</f>
        <v>0.6075</v>
      </c>
      <c r="I11" s="15">
        <f t="shared" si="3"/>
        <v>0.6912</v>
      </c>
      <c r="J11" s="15">
        <f t="shared" si="3"/>
        <v>0.76</v>
      </c>
      <c r="K11" s="15">
        <f t="shared" si="3"/>
        <v>0.78</v>
      </c>
    </row>
    <row r="12">
      <c r="A12" s="15" t="s">
        <v>124</v>
      </c>
      <c r="B12" s="14">
        <v>0.6599999999999999</v>
      </c>
      <c r="C12" s="14">
        <v>0.7250000000000001</v>
      </c>
      <c r="D12" s="14">
        <v>0.78</v>
      </c>
      <c r="E12" s="14">
        <v>0.96</v>
      </c>
      <c r="G12" s="15" t="s">
        <v>131</v>
      </c>
      <c r="H12" s="15">
        <f t="shared" ref="H12:K12" si="4">H5*B5</f>
        <v>0.931</v>
      </c>
      <c r="I12" s="15">
        <f t="shared" si="4"/>
        <v>0.99</v>
      </c>
      <c r="J12" s="15">
        <f t="shared" si="4"/>
        <v>1</v>
      </c>
      <c r="K12" s="15">
        <f t="shared" si="4"/>
        <v>0.96</v>
      </c>
    </row>
  </sheetData>
  <drawing r:id="rId1"/>
</worksheet>
</file>